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11460" tabRatio="500" firstSheet="2" activeTab="2"/>
  </bookViews>
  <sheets>
    <sheet name="00_Huong_dan" sheetId="1" r:id="rId1"/>
    <sheet name="01_ThongTinNhaMay" sheetId="2" r:id="rId2"/>
    <sheet name="02_GPMT" sheetId="3" r:id="rId3"/>
    <sheet name="03_TrangThaiNghiaVu" sheetId="4" r:id="rId4"/>
    <sheet name="04_LichCongViec" sheetId="5" r:id="rId5"/>
    <sheet name="Sheet1"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<sst xmlns="http://schemas.openxmlformats.org/spreadsheetml/2006/main" count="369" uniqueCount="189">
  <si>
    <t>MT-1P — MẪU NHẬP DỮ LIỆU 26 NHÀ MÁY THẬT</t>
  </si>
  <si>
    <t>Mục đích: file này dùng để thu thập dữ liệu thật của 26 nhà máy, phục vụ nạp vào ứng dụng tra cứu &amp; quản lý tuân thủ môi trường MT-1P.</t>
  </si>
  <si>
    <t>Cách dùng:</t>
  </si>
  <si>
    <t xml:space="preserve">  1. Mỗi nhà máy điền một dòng trong từng sheet (01, 02, 03, 04). Mã nhà máy (MaNhaMay) phải giống nhau ở cả 4 sheet để hệ thống liên kết đúng dữ liệu.</t>
  </si>
  <si>
    <t xml:space="preserve">  2. Ô có nền VÀNG là ô cần điền dữ liệu thật. Ô có nền XANH NHẠT ở dòng đầu là VÍ DỤ minh họa — không sửa, chỉ tham khảo cách điền, có thể xóa sau khi hoàn tất.</t>
  </si>
  <si>
    <t xml:space="preserve">  3. Sheet 03 và 04 có sẵn danh sách chọn (dropdown) cho các cột trạng thái — bấm vào ô sẽ thấy mũi tên chọn, không cần gõ tay để tránh sai chính tả.</t>
  </si>
  <si>
    <t xml:space="preserve">  4. Ngày tháng nhập theo định dạng ngày của Excel (chọn ô sẽ hiện lịch hoặc gõ dd/mm/yyyy).</t>
  </si>
  <si>
    <t xml:space="preserve">  5. Nếu một nhà máy chưa có dữ liệu cho một mục nào đó (ví dụ chưa từng phân tích bùn thải theo QCVN 50), điền "Chưa có" hoặc "Cần thực hiện" thay vì để trống, để phân biệt với trường hợp bỏ sót.</t>
  </si>
  <si>
    <t xml:space="preserve">  6. Sau khi điền xong, gửi lại file này — dữ liệu sẽ được nạp vào ứng dụng MT-1P thay cho dữ liệu minh họa hiện tại.</t>
  </si>
  <si>
    <t>Danh sách sheet:</t>
  </si>
  <si>
    <t xml:space="preserve">  01_ThongTinNhaMay      — thông tin cơ bản: tên, địa điểm, công suất, nguồn nước, người phụ trách</t>
  </si>
  <si>
    <t xml:space="preserve">  02_GPMT                — số hiệu, ngày cấp, ngày hết hạn giấy phép môi trường (tự tính trạng thái còn hạn/quá hạn)</t>
  </si>
  <si>
    <t xml:space="preserve">  03_TrangThaiNghiaVu    — trạng thái hiện tại của 9 nhóm nghĩa vụ môi trường cho từng nhà máy</t>
  </si>
  <si>
    <t xml:space="preserve">  04_LichCongViec        — việc cụ thể cần thực hiện, theo ngày, theo nhà máy</t>
  </si>
  <si>
    <t>Lưu ý: đây là biểu mẫu thu thập dữ liệu — không phải bản thân ứng dụng tra cứu.</t>
  </si>
  <si>
    <t>Chú giải màu:</t>
  </si>
  <si>
    <t xml:space="preserve">  Ô nền vàng = cần điền dữ liệu thật</t>
  </si>
  <si>
    <t xml:space="preserve">  Dòng nền xanh nhạt = dòng ví dụ, không phải dữ liệu thật</t>
  </si>
  <si>
    <t>MaNhaMay</t>
  </si>
  <si>
    <t>TenNhaMay</t>
  </si>
  <si>
    <t>DiaDiem</t>
  </si>
  <si>
    <t>CongSuat_m3_ngay</t>
  </si>
  <si>
    <t>NguonNuoc (Mặt/Ngầm)</t>
  </si>
  <si>
    <t>NguoiPhuTrach</t>
  </si>
  <si>
    <t>GhiChu</t>
  </si>
  <si>
    <t>VD-01</t>
  </si>
  <si>
    <t>Nhà máy nước Cao Lãnh</t>
  </si>
  <si>
    <t>Phường Cao Lãnh, tỉnh Đồng Tháp</t>
  </si>
  <si>
    <t>Nước mặt</t>
  </si>
  <si>
    <t>Nguyễn Văn A</t>
  </si>
  <si>
    <t>Dòng ví dụ — xóa sau khi hoàn tất</t>
  </si>
  <si>
    <t>NM01</t>
  </si>
  <si>
    <t>Nhà máy nước mặt Đông Bình</t>
  </si>
  <si>
    <t>Khu phố Đông Bình, phường Cao Lãnh, tỉnh Đồng Tháp</t>
  </si>
  <si>
    <t>Đặng Thanh Hùng</t>
  </si>
  <si>
    <t>NM02</t>
  </si>
  <si>
    <t>Nhà máy nước mặt Tân Long</t>
  </si>
  <si>
    <t>Khu phố Bến Bắc, phường Cao Lãnh, tỉnh Đồng Tháp</t>
  </si>
  <si>
    <t>NM03</t>
  </si>
  <si>
    <t>Nhà máy nước mặt Mỹ Hiệp</t>
  </si>
  <si>
    <t>Cụm công nghiệp xã Mỹ Hiệp, tỉnh Đồng Tháp</t>
  </si>
  <si>
    <t>NM04</t>
  </si>
  <si>
    <t>Nhà máy nước mặt Mỹ An</t>
  </si>
  <si>
    <t>Ấp Mỹ An 2, xã Tháp Mười, tỉnh Đồng Tháp</t>
  </si>
  <si>
    <t>NM05</t>
  </si>
  <si>
    <t>Trạm cấp nước Mỹ Thọ</t>
  </si>
  <si>
    <t>Ấp Mỹ Tây, xã Mỹ Thọ, tỉnh Đồng Tháp</t>
  </si>
  <si>
    <t>NM06</t>
  </si>
  <si>
    <t>Trạm cấp nước Trường Xuân</t>
  </si>
  <si>
    <t>xã Trường Xuân, tỉnh Đồng Tháp</t>
  </si>
  <si>
    <t>NM07</t>
  </si>
  <si>
    <t>Nhà máy nước mặt Trần Quốc Toản</t>
  </si>
  <si>
    <t>Quốc lộ 30, phường Mỹ Ngãi, tỉnh Đồng Tháp</t>
  </si>
  <si>
    <t>NM08</t>
  </si>
  <si>
    <t>Trạm cấp nước Tân Nghĩa</t>
  </si>
  <si>
    <t>Chợ Tân Nghĩa, phường Mỹ Ngãi, tỉnh Đồng Tháp</t>
  </si>
  <si>
    <t>NM09</t>
  </si>
  <si>
    <t>Nhà máy nước Sa Đéc</t>
  </si>
  <si>
    <t>270B, Trần Hưng Đạo, P. Sa Đéc, tỉnh Đồng Tháp</t>
  </si>
  <si>
    <t>NM10</t>
  </si>
  <si>
    <t>Nhà máy nước KCN C</t>
  </si>
  <si>
    <t>KCN C, phường Sa Đéc, tỉnh Đồng Tháp</t>
  </si>
  <si>
    <t>NM11</t>
  </si>
  <si>
    <t>Nhà máy nước mặt Nha Mân</t>
  </si>
  <si>
    <t>QL80, xã Tân Nhuận Đông, tỉnh Đồng Tháp (cầu Nha Mân)</t>
  </si>
  <si>
    <t>NM12</t>
  </si>
  <si>
    <t>Nhà máy nước mặt Nha Mân 2</t>
  </si>
  <si>
    <t>QL80, xã Tân Nhuận Đông, tỉnh Đồng Tháp</t>
  </si>
  <si>
    <t>NM13</t>
  </si>
  <si>
    <t>Nhà máy nước mặt An Hiệp</t>
  </si>
  <si>
    <t>cồn An Hiệp, xã Phú Hựu, tỉnh Đồng Tháp</t>
  </si>
  <si>
    <t>NM14</t>
  </si>
  <si>
    <t>Nhà máy nước mặt An Phú Thuận</t>
  </si>
  <si>
    <t>xã Phú Hựu (UBND xã An phú thuận cũ)</t>
  </si>
  <si>
    <t>NM15</t>
  </si>
  <si>
    <t>Nhà máy nước mặt Bình Thành</t>
  </si>
  <si>
    <t>QL80, xã Lấp Vò, tỉnh Đồng Tháp</t>
  </si>
  <si>
    <t>NM16</t>
  </si>
  <si>
    <t>Nhà máy nước mặt Lộ Tiểu</t>
  </si>
  <si>
    <t>QL80, xã Phú Hựu, tỉnh Đồng Tháp</t>
  </si>
  <si>
    <t>NM17</t>
  </si>
  <si>
    <t>Nhà máy nước mặt Mương Điều</t>
  </si>
  <si>
    <t>Chợ Mương Điều, xã Tân Khánh Trung, tỉnh Đồng Tháp</t>
  </si>
  <si>
    <t>NM18</t>
  </si>
  <si>
    <t>Nhà máy nước mặt Khánh Mỹ</t>
  </si>
  <si>
    <t>xã Tân Khánh Trung, tỉnh Đồng Tháp</t>
  </si>
  <si>
    <t>NM19</t>
  </si>
  <si>
    <t>Nhà máy nước mặt Vĩnh Thạnh</t>
  </si>
  <si>
    <t>ấp Vĩnh Thạnh, xã Lấp Vò, tỉnh Đồng Tháp (cầu Vĩnh Thạnh)</t>
  </si>
  <si>
    <t>NM20</t>
  </si>
  <si>
    <t>Nhà máy nước mặt Phú Hựu</t>
  </si>
  <si>
    <t>xã Phú Hựu, tỉnh Đồng Tháp</t>
  </si>
  <si>
    <t>NM21</t>
  </si>
  <si>
    <t>Nhà máy nước mặt Tân Phú Trung</t>
  </si>
  <si>
    <t>xã Tân Phú Trung, tỉnh Đồng Tháp</t>
  </si>
  <si>
    <t>NM22</t>
  </si>
  <si>
    <t>Nhà máy nước mặt Tân Dương</t>
  </si>
  <si>
    <t>KDC Tân Dương, xã Tân Dương, tỉnh Đồng Tháp</t>
  </si>
  <si>
    <t>NM23</t>
  </si>
  <si>
    <t>Nhà máy nước mặt TP. Hồng Ngự</t>
  </si>
  <si>
    <t>phường An Bình, tỉnh Đồng Tháp</t>
  </si>
  <si>
    <t>NM24</t>
  </si>
  <si>
    <t>Nhà máy nước Thường Thới Tiền</t>
  </si>
  <si>
    <t>xã Thường Phước, tỉnh Đồng Tháp</t>
  </si>
  <si>
    <t>NM25</t>
  </si>
  <si>
    <t>Nhà máy nước mặt An Long</t>
  </si>
  <si>
    <t>QL30, xã An Long, tỉnh Đồng Tháp</t>
  </si>
  <si>
    <t>NM26</t>
  </si>
  <si>
    <t>Nhà máy nước Bình Phú</t>
  </si>
  <si>
    <t>xã Tân Hồng, tỉnh Đồng Tháp</t>
  </si>
  <si>
    <t>NM27</t>
  </si>
  <si>
    <t>Trạm cấp nước Tràm Chim</t>
  </si>
  <si>
    <t>xã Tràm Chim, tỉnh Đồng Tháp</t>
  </si>
  <si>
    <t>NM28</t>
  </si>
  <si>
    <t>Nhà máy nước mặt Thanh Bình</t>
  </si>
  <si>
    <t>xã Thanh Bình, tỉnh Đồng Tháp</t>
  </si>
  <si>
    <t>SoGPMT</t>
  </si>
  <si>
    <t>NgayCap</t>
  </si>
  <si>
    <t>NgayHetHan</t>
  </si>
  <si>
    <t>CoQuanCap</t>
  </si>
  <si>
    <t>TinhTrang (tự động)</t>
  </si>
  <si>
    <t>CongSuatKhaiThac</t>
  </si>
  <si>
    <t>12/BNNMT-GPMT</t>
  </si>
  <si>
    <t>Sở Nông nghiệp và Môi trường Đồng Tháp</t>
  </si>
  <si>
    <t xml:space="preserve">số 907/UBND-KTHĐT ngày 13/9/2025 của UBND P. Cao Lãnh </t>
  </si>
  <si>
    <t>UBND phường Cao Lãnh</t>
  </si>
  <si>
    <t>không thời hạn</t>
  </si>
  <si>
    <t xml:space="preserve">số 1927/UBND-KTHĐT ngày 7/11/2025 của UBND P. Cao Lãnh </t>
  </si>
  <si>
    <t>số 04/UBND-HC ngày 19/6/2025 của UBND xã Mỹ Hiệp</t>
  </si>
  <si>
    <t>UBND xã Mỹ Hiệp</t>
  </si>
  <si>
    <t>số 974/UBND-KT ngày 21/4/2026 của UBND xã Tháp Mười</t>
  </si>
  <si>
    <t>UBND xã Tháp Mười</t>
  </si>
  <si>
    <t xml:space="preserve">số 501/PKT-HC ngày 24/3/2026 của phòng KT -UBND xã Mỹ Thọ
</t>
  </si>
  <si>
    <t>UBND xã Mỹ Thọ</t>
  </si>
  <si>
    <t>số 386/UBND ngày 28/5/2025 của UBND xã Trường Xuân</t>
  </si>
  <si>
    <t>UBND xã Trường Xuân</t>
  </si>
  <si>
    <t>số 105/TB-UNBD ngày 18/5/2026  của UBND phường Sa Đéc</t>
  </si>
  <si>
    <t>UBND phường Sa Đéc</t>
  </si>
  <si>
    <t>số 30/TB-UBND ngày 24/4/2025 của UBND phường Tân Qui Đông</t>
  </si>
  <si>
    <t>UBND phường Tân Qui Đông (P. Sa Đéc hiện nay)</t>
  </si>
  <si>
    <t>số 273/UBND-KT ngày 30/5/2025 của UBND xã Tân Nhuận Đông</t>
  </si>
  <si>
    <t>số 272/UBND-KT ngày 30/5/2025 của UBND xã Tân Nhuận Đông</t>
  </si>
  <si>
    <t>UBND xã Tân Nhuận Đông</t>
  </si>
  <si>
    <t>số 624/UBND-KT ngày 12/3/2026 của UBND xã  Phú Hựu</t>
  </si>
  <si>
    <t>UBND xã  Phú Hựu</t>
  </si>
  <si>
    <t>chưa thực hiện</t>
  </si>
  <si>
    <t xml:space="preserve">số 01/GPMT-UBND ngày 21/4/2025 của UBND huyện Lấp Vò </t>
  </si>
  <si>
    <t>UBND huyện Lấp Vò</t>
  </si>
  <si>
    <t>10 năm</t>
  </si>
  <si>
    <t>số 243/UBND-KT ngày ngày 14/5/2025 của UBND xã An Nhơn</t>
  </si>
  <si>
    <t>UBND xã An Nhơn (UBND xã Phú Hựu hiện nay)</t>
  </si>
  <si>
    <t>số 38/TB-UBND ngày 11/3/2026 của UBND xã Lấp Vò</t>
  </si>
  <si>
    <t>UBND xã Lấp Vò</t>
  </si>
  <si>
    <t>số 27/GPMT-UNBD ngày 26/6/2025 của UBND huyện Châu Thành</t>
  </si>
  <si>
    <t>UBND huyện Châu Thành (UBND xã Phú Hựu hiện nay)</t>
  </si>
  <si>
    <t>số 222/UBND-KT ngày 8/8/2025 của UBND xã Tân Phú Trung</t>
  </si>
  <si>
    <t>UBND xã Tân Phú Trung</t>
  </si>
  <si>
    <t>số 1732/GPMT-UBND ngày 05/6/2025 của UBND TP. Hồng Ngự</t>
  </si>
  <si>
    <t>UBND TP. Hồng Ngự (UBND phường An Bình hiện nay)</t>
  </si>
  <si>
    <t>số 488/GPMT-UBND ngày 12/5/2025 của UBND tỉnh Đồng Tháp</t>
  </si>
  <si>
    <t>UBND tỉnh Đồng Tháp</t>
  </si>
  <si>
    <t>số 947/TB-UBND ngày 10/6/2026 của UBND xã An Long</t>
  </si>
  <si>
    <t>UBND xã An Long</t>
  </si>
  <si>
    <t>số 83/GPMT-UBND ngày 29/5/2025 của UBND huyện Tân Hồng</t>
  </si>
  <si>
    <t>UBND huyện Tân Hồng (nay là xã Tân Hồng)</t>
  </si>
  <si>
    <t>Nhà máy Tràm Chim</t>
  </si>
  <si>
    <t>số 1438/GPMT-UBND ngày 27/6/2025 của UBND huyện Tam Nông</t>
  </si>
  <si>
    <t>UBND xã Tràm Chim</t>
  </si>
  <si>
    <t xml:space="preserve">chấp thuận của UBND xã Thanh Bình ngày 12/11/2025 </t>
  </si>
  <si>
    <t>UBND xã Thanh Bình</t>
  </si>
  <si>
    <t>NuocThai</t>
  </si>
  <si>
    <t>CTNH</t>
  </si>
  <si>
    <t>BunThai</t>
  </si>
  <si>
    <t>HoaChat</t>
  </si>
  <si>
    <t>QuanTrac</t>
  </si>
  <si>
    <t>BaoCao</t>
  </si>
  <si>
    <t>KNK</t>
  </si>
  <si>
    <t>EPR</t>
  </si>
  <si>
    <t>Đạt/Còn hạn</t>
  </si>
  <si>
    <t>Sắp đến hạn</t>
  </si>
  <si>
    <t>Cần rà soát</t>
  </si>
  <si>
    <t>Ngay</t>
  </si>
  <si>
    <t>NoiDungCongViec</t>
  </si>
  <si>
    <t>NhomNghiaVu</t>
  </si>
  <si>
    <t>MucDoUuTien</t>
  </si>
  <si>
    <t>TrangThai</t>
  </si>
  <si>
    <t>Kiểm tra khu vực lưu giữ CTNH</t>
  </si>
  <si>
    <t>Cao</t>
  </si>
  <si>
    <t>Chưa làm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</si>
</sst>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 _₫_-;\-* #,##0\ _₫_-;_-* &quot;-&quot;\ _₫_-;_-@_-"/>
    <numFmt numFmtId="43" formatCode="_-* #,##0.00\ _₫_-;\-* #,##0.00\ _₫_-;_-* &quot;-&quot;??\ _₫_-;_-@_-"/>
    <numFmt numFmtId="176" formatCode="_-* #,##0.00\ &quot;₫&quot;_-;\-* #,##0.00\ &quot;₫&quot;_-;_-* &quot;-&quot;??\ &quot;₫&quot;_-;_-@_-"/>
    <numFmt numFmtId="177" formatCode="_-* #,##0\ &quot;₫&quot;_-;\-* #,##0\ &quot;₫&quot;_-;_-* &quot;-&quot;\ &quot;₫&quot;_-;_-@_-"/>
  </numFmts>
  <fonts count="28">
    <font>
      <sz val="11"/>
      <color theme="1"/>
      <name val="Calibri"/>
      <charset val="1"/>
    </font>
    <font>
      <b/>
      <sz val="10.5"/>
      <color rgb="FFFFFFFF"/>
      <name val="Arial"/>
      <charset val="1"/>
    </font>
    <font>
      <sz val="10"/>
      <name val="Arial"/>
      <charset val="1"/>
    </font>
    <font>
      <sz val="13"/>
      <color theme="1"/>
      <name val="Times New Roman"/>
      <charset val="134"/>
    </font>
    <font>
      <b/>
      <sz val="14"/>
      <color rgb="FF0D3B38"/>
      <name val="Arial"/>
      <charset val="1"/>
    </font>
    <font>
      <b/>
      <sz val="10.5"/>
      <name val="Arial"/>
      <charset val="1"/>
    </font>
    <font>
      <sz val="10.5"/>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0D3B38"/>
        <bgColor rgb="FF003300"/>
      </patternFill>
    </fill>
    <fill>
      <patternFill patternType="solid">
        <fgColor rgb="FFE7EEE2"/>
        <bgColor rgb="FFE2F0E2"/>
      </patternFill>
    </fill>
    <fill>
      <patternFill patternType="solid">
        <fgColor rgb="FFFFF6CC"/>
        <bgColor rgb="FFFBF0DC"/>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Border="0" applyAlignment="0" applyProtection="0"/>
    <xf numFmtId="176" fontId="7" fillId="0" borderId="0" applyBorder="0" applyAlignment="0" applyProtection="0"/>
    <xf numFmtId="9" fontId="7" fillId="0" borderId="0" applyBorder="0" applyAlignment="0" applyProtection="0"/>
    <xf numFmtId="41" fontId="7" fillId="0" borderId="0" applyBorder="0" applyAlignment="0" applyProtection="0"/>
    <xf numFmtId="177" fontId="7" fillId="0" borderId="0" applyBorder="0" applyAlignment="0" applyProtection="0"/>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6" borderId="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6" fillId="0" borderId="0" applyNumberFormat="0" applyFill="0" applyBorder="0" applyAlignment="0" applyProtection="0">
      <alignment vertical="center"/>
    </xf>
    <xf numFmtId="0" fontId="17" fillId="7" borderId="7" applyNumberFormat="0" applyAlignment="0" applyProtection="0">
      <alignment vertical="center"/>
    </xf>
    <xf numFmtId="0" fontId="18" fillId="8" borderId="8" applyNumberFormat="0" applyAlignment="0" applyProtection="0">
      <alignment vertical="center"/>
    </xf>
    <xf numFmtId="0" fontId="19" fillId="8" borderId="7" applyNumberFormat="0" applyAlignment="0" applyProtection="0">
      <alignment vertical="center"/>
    </xf>
    <xf numFmtId="0" fontId="20" fillId="9" borderId="9" applyNumberFormat="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cellStyleXfs>
  <cellXfs count="22">
    <xf numFmtId="0" fontId="0" fillId="0" borderId="0" xfId="0"/>
    <xf numFmtId="0" fontId="1" fillId="2" borderId="1" xfId="0" applyFont="1" applyFill="1" applyBorder="1" applyAlignment="1">
      <alignment horizontal="center" vertical="center" wrapText="1"/>
    </xf>
    <xf numFmtId="58" fontId="2" fillId="3" borderId="1" xfId="0" applyNumberFormat="1" applyFont="1" applyFill="1" applyBorder="1" applyAlignment="1">
      <alignment vertical="center" wrapText="1"/>
    </xf>
    <xf numFmtId="0" fontId="2" fillId="3" borderId="1" xfId="0" applyFont="1" applyFill="1" applyBorder="1" applyAlignment="1">
      <alignment vertical="center" wrapText="1"/>
    </xf>
    <xf numFmtId="58" fontId="2" fillId="4" borderId="1" xfId="0" applyNumberFormat="1" applyFont="1" applyFill="1" applyBorder="1" applyAlignment="1">
      <alignment vertical="center" wrapText="1"/>
    </xf>
    <xf numFmtId="0" fontId="2" fillId="4" borderId="1" xfId="0" applyFont="1" applyFill="1" applyBorder="1" applyAlignment="1">
      <alignment vertical="center" wrapText="1"/>
    </xf>
    <xf numFmtId="0" fontId="2" fillId="0" borderId="1" xfId="0" applyFont="1" applyBorder="1" applyAlignment="1">
      <alignment vertical="center" wrapText="1"/>
    </xf>
    <xf numFmtId="3" fontId="3" fillId="0" borderId="2" xfId="0" applyNumberFormat="1" applyFont="1" applyFill="1" applyBorder="1" applyAlignment="1">
      <alignment vertical="center" wrapText="1"/>
    </xf>
    <xf numFmtId="3" fontId="3" fillId="0" borderId="2" xfId="0" applyNumberFormat="1" applyFont="1" applyFill="1" applyBorder="1" applyAlignment="1">
      <alignment horizontal="left" vertical="center" wrapText="1"/>
    </xf>
    <xf numFmtId="3" fontId="3" fillId="0" borderId="2" xfId="0" applyNumberFormat="1" applyFont="1" applyFill="1" applyBorder="1" applyAlignment="1">
      <alignment wrapText="1"/>
    </xf>
    <xf numFmtId="0" fontId="3" fillId="0" borderId="3" xfId="0" applyFont="1" applyFill="1" applyBorder="1" applyAlignment="1">
      <alignment vertical="center" wrapText="1"/>
    </xf>
    <xf numFmtId="0" fontId="3" fillId="0" borderId="2" xfId="0" applyFont="1" applyFill="1" applyBorder="1" applyAlignment="1">
      <alignment vertical="center" wrapText="1"/>
    </xf>
    <xf numFmtId="0" fontId="3" fillId="0" borderId="2" xfId="0" applyFont="1" applyFill="1" applyBorder="1" applyAlignment="1">
      <alignment wrapText="1"/>
    </xf>
    <xf numFmtId="0" fontId="3" fillId="5" borderId="2" xfId="0" applyFont="1" applyFill="1" applyBorder="1" applyAlignment="1">
      <alignment wrapText="1"/>
    </xf>
    <xf numFmtId="3" fontId="3" fillId="0" borderId="2" xfId="0" applyNumberFormat="1" applyFont="1" applyFill="1" applyBorder="1" applyAlignment="1">
      <alignment horizontal="center" vertical="center" wrapText="1"/>
    </xf>
    <xf numFmtId="3" fontId="3" fillId="0" borderId="2" xfId="0" applyNumberFormat="1" applyFont="1" applyFill="1" applyBorder="1" applyAlignment="1">
      <alignment horizontal="center" vertical="center"/>
    </xf>
    <xf numFmtId="0" fontId="4" fillId="0" borderId="0" xfId="0" applyFont="1"/>
    <xf numFmtId="0" fontId="5" fillId="0" borderId="0" xfId="0" applyFont="1" applyAlignment="1">
      <alignment vertical="top" wrapText="1"/>
    </xf>
    <xf numFmtId="0" fontId="6" fillId="0" borderId="0" xfId="0" applyFont="1" applyAlignment="1">
      <alignment vertical="top" wrapText="1"/>
    </xf>
    <xf numFmtId="0" fontId="5" fillId="0" borderId="0" xfId="0" applyFont="1"/>
    <xf numFmtId="0" fontId="6" fillId="4" borderId="0" xfId="0" applyFont="1" applyFill="1"/>
    <xf numFmtId="0" fontId="6" fillId="3" borderId="0" xfId="0" applyFont="1"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1">
    <dxf>
      <fill>
        <patternFill patternType="solid">
          <bgColor rgb="FFF8E3DD"/>
        </patternFill>
      </fill>
    </dxf>
    <dxf>
      <fill>
        <patternFill patternType="solid">
          <bgColor rgb="FFFBF0DC"/>
        </patternFill>
      </fill>
    </dxf>
    <dxf>
      <fill>
        <patternFill patternType="solid">
          <bgColor rgb="FFE2F0E2"/>
        </patternFill>
      </fill>
    </dxf>
    <dxf>
      <fill>
        <patternFill patternType="solid">
          <bgColor rgb="FFE2EDF2"/>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6CC"/>
      <rgbColor rgb="00E2EDF2"/>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E7EEE2"/>
      <rgbColor rgb="00E2F0E2"/>
      <rgbColor rgb="00FBF0DC"/>
      <rgbColor rgb="0099CCFF"/>
      <rgbColor rgb="00FF99CC"/>
      <rgbColor rgb="00CC99FF"/>
      <rgbColor rgb="00F8E3DD"/>
      <rgbColor rgb="003366FF"/>
      <rgbColor rgb="0033CCCC"/>
      <rgbColor rgb="0099CC00"/>
      <rgbColor rgb="00FFCC00"/>
      <rgbColor rgb="00FF9900"/>
      <rgbColor rgb="00FF6600"/>
      <rgbColor rgb="00666699"/>
      <rgbColor rgb="00969696"/>
      <rgbColor rgb="000D3B38"/>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3"/>
  <sheetViews>
    <sheetView showGridLines="0" workbookViewId="0">
      <selection activeCell="A1" sqref="A1"/>
    </sheetView>
  </sheetViews>
  <sheetFormatPr defaultColWidth="8.67619047619048" defaultRowHeight="15"/>
  <cols>
    <col min="1" max="1" width="100" customWidth="1"/>
  </cols>
  <sheetData>
    <row r="1" ht="18" spans="1:1">
      <c r="A1" s="16" t="s">
        <v>0</v>
      </c>
    </row>
    <row r="3" ht="27" spans="1:1">
      <c r="A3" s="17" t="s">
        <v>1</v>
      </c>
    </row>
    <row r="4" spans="1:1">
      <c r="A4" s="18"/>
    </row>
    <row r="5" spans="1:1">
      <c r="A5" s="17" t="s">
        <v>2</v>
      </c>
    </row>
    <row r="6" ht="27" spans="1:1">
      <c r="A6" s="18" t="s">
        <v>3</v>
      </c>
    </row>
    <row r="7" ht="27" spans="1:1">
      <c r="A7" s="18" t="s">
        <v>4</v>
      </c>
    </row>
    <row r="8" ht="27" spans="1:1">
      <c r="A8" s="18" t="s">
        <v>5</v>
      </c>
    </row>
    <row r="9" spans="1:1">
      <c r="A9" s="18" t="s">
        <v>6</v>
      </c>
    </row>
    <row r="10" ht="27" spans="1:1">
      <c r="A10" s="18" t="s">
        <v>7</v>
      </c>
    </row>
    <row r="11" ht="27" spans="1:1">
      <c r="A11" s="18" t="s">
        <v>8</v>
      </c>
    </row>
    <row r="12" spans="1:1">
      <c r="A12" s="18"/>
    </row>
    <row r="13" spans="1:1">
      <c r="A13" s="17" t="s">
        <v>9</v>
      </c>
    </row>
    <row r="14" spans="1:1">
      <c r="A14" s="18" t="s">
        <v>10</v>
      </c>
    </row>
    <row r="15" ht="27" spans="1:1">
      <c r="A15" s="18" t="s">
        <v>11</v>
      </c>
    </row>
    <row r="16" spans="1:1">
      <c r="A16" s="18" t="s">
        <v>12</v>
      </c>
    </row>
    <row r="17" spans="1:1">
      <c r="A17" s="18" t="s">
        <v>13</v>
      </c>
    </row>
    <row r="18" spans="1:1">
      <c r="A18" s="18"/>
    </row>
    <row r="19" spans="1:1">
      <c r="A19" s="18" t="s">
        <v>14</v>
      </c>
    </row>
    <row r="21" spans="1:1">
      <c r="A21" s="19" t="s">
        <v>15</v>
      </c>
    </row>
    <row r="22" spans="1:1">
      <c r="A22" s="20" t="s">
        <v>16</v>
      </c>
    </row>
    <row r="23" spans="1:1">
      <c r="A23" s="21" t="s">
        <v>17</v>
      </c>
    </row>
  </sheetData>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0"/>
  <sheetViews>
    <sheetView workbookViewId="0">
      <pane ySplit="2" topLeftCell="A20" activePane="bottomLeft" state="frozen"/>
      <selection/>
      <selection pane="bottomLeft" activeCell="B30" sqref="B30"/>
    </sheetView>
  </sheetViews>
  <sheetFormatPr defaultColWidth="8.67619047619048" defaultRowHeight="15" outlineLevelCol="6"/>
  <cols>
    <col min="1" max="1" width="11" customWidth="1"/>
    <col min="2" max="2" width="30" customWidth="1"/>
    <col min="3" max="3" width="34" customWidth="1"/>
    <col min="4" max="4" width="16.8571428571429" customWidth="1"/>
    <col min="5" max="5" width="20" customWidth="1"/>
    <col min="6" max="6" width="22" customWidth="1"/>
    <col min="7" max="7" width="30" customWidth="1"/>
  </cols>
  <sheetData>
    <row r="1" ht="33.75" customHeight="1" spans="1:7">
      <c r="A1" s="1" t="s">
        <v>18</v>
      </c>
      <c r="B1" s="1" t="s">
        <v>19</v>
      </c>
      <c r="C1" s="1" t="s">
        <v>20</v>
      </c>
      <c r="D1" s="1" t="s">
        <v>21</v>
      </c>
      <c r="E1" s="1" t="s">
        <v>22</v>
      </c>
      <c r="F1" s="1" t="s">
        <v>23</v>
      </c>
      <c r="G1" s="1" t="s">
        <v>24</v>
      </c>
    </row>
    <row r="2" spans="1:7">
      <c r="A2" s="3" t="s">
        <v>25</v>
      </c>
      <c r="B2" s="3" t="s">
        <v>26</v>
      </c>
      <c r="C2" s="3" t="s">
        <v>27</v>
      </c>
      <c r="D2" s="3">
        <v>6000</v>
      </c>
      <c r="E2" s="3" t="s">
        <v>28</v>
      </c>
      <c r="F2" s="3" t="s">
        <v>29</v>
      </c>
      <c r="G2" s="3" t="s">
        <v>30</v>
      </c>
    </row>
    <row r="3" ht="33" spans="1:7">
      <c r="A3" s="6" t="s">
        <v>31</v>
      </c>
      <c r="B3" s="7" t="s">
        <v>32</v>
      </c>
      <c r="C3" s="14" t="s">
        <v>33</v>
      </c>
      <c r="D3" s="5">
        <v>40000</v>
      </c>
      <c r="E3" s="5" t="s">
        <v>28</v>
      </c>
      <c r="F3" s="5" t="s">
        <v>34</v>
      </c>
      <c r="G3" s="5"/>
    </row>
    <row r="4" ht="16.5" spans="1:7">
      <c r="A4" s="6" t="s">
        <v>35</v>
      </c>
      <c r="B4" s="7" t="s">
        <v>36</v>
      </c>
      <c r="C4" s="15" t="s">
        <v>37</v>
      </c>
      <c r="D4" s="5">
        <v>6000</v>
      </c>
      <c r="E4" s="5" t="s">
        <v>28</v>
      </c>
      <c r="F4" s="5" t="s">
        <v>34</v>
      </c>
      <c r="G4" s="5"/>
    </row>
    <row r="5" ht="16.5" spans="1:7">
      <c r="A5" s="6" t="s">
        <v>38</v>
      </c>
      <c r="B5" s="7" t="s">
        <v>39</v>
      </c>
      <c r="C5" s="15" t="s">
        <v>40</v>
      </c>
      <c r="D5" s="5">
        <v>5000</v>
      </c>
      <c r="E5" s="5" t="s">
        <v>28</v>
      </c>
      <c r="F5" s="5" t="s">
        <v>34</v>
      </c>
      <c r="G5" s="5"/>
    </row>
    <row r="6" ht="16.5" spans="1:7">
      <c r="A6" s="6" t="s">
        <v>41</v>
      </c>
      <c r="B6" s="7" t="s">
        <v>42</v>
      </c>
      <c r="C6" s="15" t="s">
        <v>43</v>
      </c>
      <c r="D6" s="5">
        <v>13000</v>
      </c>
      <c r="E6" s="5" t="s">
        <v>28</v>
      </c>
      <c r="F6" s="5" t="s">
        <v>34</v>
      </c>
      <c r="G6" s="5"/>
    </row>
    <row r="7" ht="16.5" spans="1:7">
      <c r="A7" s="6" t="s">
        <v>44</v>
      </c>
      <c r="B7" s="7" t="s">
        <v>45</v>
      </c>
      <c r="C7" s="15" t="s">
        <v>46</v>
      </c>
      <c r="D7" s="5">
        <v>10000</v>
      </c>
      <c r="E7" s="5" t="s">
        <v>28</v>
      </c>
      <c r="F7" s="5" t="s">
        <v>34</v>
      </c>
      <c r="G7" s="5"/>
    </row>
    <row r="8" ht="16.5" spans="1:7">
      <c r="A8" s="6" t="s">
        <v>47</v>
      </c>
      <c r="B8" s="7" t="s">
        <v>48</v>
      </c>
      <c r="C8" s="15" t="s">
        <v>49</v>
      </c>
      <c r="D8" s="5">
        <v>2500</v>
      </c>
      <c r="E8" s="5" t="s">
        <v>28</v>
      </c>
      <c r="F8" s="5" t="s">
        <v>34</v>
      </c>
      <c r="G8" s="5"/>
    </row>
    <row r="9" ht="33" spans="1:7">
      <c r="A9" s="6" t="s">
        <v>50</v>
      </c>
      <c r="B9" s="7" t="s">
        <v>51</v>
      </c>
      <c r="C9" s="15" t="s">
        <v>52</v>
      </c>
      <c r="D9" s="5">
        <v>7000</v>
      </c>
      <c r="E9" s="5" t="s">
        <v>28</v>
      </c>
      <c r="F9" s="5" t="s">
        <v>34</v>
      </c>
      <c r="G9" s="5"/>
    </row>
    <row r="10" ht="16.5" spans="1:7">
      <c r="A10" s="6" t="s">
        <v>53</v>
      </c>
      <c r="B10" s="7" t="s">
        <v>54</v>
      </c>
      <c r="C10" s="15" t="s">
        <v>55</v>
      </c>
      <c r="D10" s="5">
        <v>2000</v>
      </c>
      <c r="E10" s="5" t="s">
        <v>28</v>
      </c>
      <c r="F10" s="5" t="s">
        <v>34</v>
      </c>
      <c r="G10" s="5"/>
    </row>
    <row r="11" ht="16.5" spans="1:7">
      <c r="A11" s="6" t="s">
        <v>56</v>
      </c>
      <c r="B11" s="7" t="s">
        <v>57</v>
      </c>
      <c r="C11" s="15" t="s">
        <v>58</v>
      </c>
      <c r="D11" s="5">
        <v>17000</v>
      </c>
      <c r="E11" s="5" t="s">
        <v>28</v>
      </c>
      <c r="F11" s="5" t="s">
        <v>34</v>
      </c>
      <c r="G11" s="5"/>
    </row>
    <row r="12" ht="16.5" spans="1:7">
      <c r="A12" s="6" t="s">
        <v>59</v>
      </c>
      <c r="B12" s="7" t="s">
        <v>60</v>
      </c>
      <c r="C12" s="15" t="s">
        <v>61</v>
      </c>
      <c r="D12" s="5">
        <v>15000</v>
      </c>
      <c r="E12" s="5" t="s">
        <v>28</v>
      </c>
      <c r="F12" s="5" t="s">
        <v>34</v>
      </c>
      <c r="G12" s="5"/>
    </row>
    <row r="13" ht="16.5" spans="1:7">
      <c r="A13" s="6" t="s">
        <v>62</v>
      </c>
      <c r="B13" s="7" t="s">
        <v>63</v>
      </c>
      <c r="C13" s="15" t="s">
        <v>64</v>
      </c>
      <c r="D13" s="5">
        <v>7000</v>
      </c>
      <c r="E13" s="5" t="s">
        <v>28</v>
      </c>
      <c r="F13" s="5" t="s">
        <v>34</v>
      </c>
      <c r="G13" s="5"/>
    </row>
    <row r="14" ht="16.5" spans="1:7">
      <c r="A14" s="6" t="s">
        <v>65</v>
      </c>
      <c r="B14" s="7" t="s">
        <v>66</v>
      </c>
      <c r="C14" s="15" t="s">
        <v>67</v>
      </c>
      <c r="D14" s="5">
        <v>5000</v>
      </c>
      <c r="E14" s="5" t="s">
        <v>28</v>
      </c>
      <c r="F14" s="5" t="s">
        <v>34</v>
      </c>
      <c r="G14" s="5"/>
    </row>
    <row r="15" ht="16.5" spans="1:7">
      <c r="A15" s="6" t="s">
        <v>68</v>
      </c>
      <c r="B15" s="8" t="s">
        <v>69</v>
      </c>
      <c r="C15" s="15" t="s">
        <v>70</v>
      </c>
      <c r="D15" s="5">
        <v>2500</v>
      </c>
      <c r="E15" s="5" t="s">
        <v>28</v>
      </c>
      <c r="F15" s="5" t="s">
        <v>34</v>
      </c>
      <c r="G15" s="5"/>
    </row>
    <row r="16" ht="33" spans="1:7">
      <c r="A16" s="6" t="s">
        <v>71</v>
      </c>
      <c r="B16" s="7" t="s">
        <v>72</v>
      </c>
      <c r="C16" s="15" t="s">
        <v>73</v>
      </c>
      <c r="D16" s="5">
        <v>2500</v>
      </c>
      <c r="E16" s="5" t="s">
        <v>28</v>
      </c>
      <c r="F16" s="5" t="s">
        <v>34</v>
      </c>
      <c r="G16" s="5"/>
    </row>
    <row r="17" ht="33" spans="1:7">
      <c r="A17" s="6" t="s">
        <v>74</v>
      </c>
      <c r="B17" s="7" t="s">
        <v>75</v>
      </c>
      <c r="C17" s="15" t="s">
        <v>76</v>
      </c>
      <c r="D17" s="5">
        <v>6000</v>
      </c>
      <c r="E17" s="5" t="s">
        <v>28</v>
      </c>
      <c r="F17" s="5" t="s">
        <v>34</v>
      </c>
      <c r="G17" s="5"/>
    </row>
    <row r="18" ht="16.5" spans="1:7">
      <c r="A18" s="6" t="s">
        <v>77</v>
      </c>
      <c r="B18" s="7" t="s">
        <v>78</v>
      </c>
      <c r="C18" s="15" t="s">
        <v>79</v>
      </c>
      <c r="D18" s="5">
        <v>5000</v>
      </c>
      <c r="E18" s="5" t="s">
        <v>28</v>
      </c>
      <c r="F18" s="5" t="s">
        <v>34</v>
      </c>
      <c r="G18" s="5"/>
    </row>
    <row r="19" ht="33" spans="1:7">
      <c r="A19" s="6" t="s">
        <v>80</v>
      </c>
      <c r="B19" s="7" t="s">
        <v>81</v>
      </c>
      <c r="C19" s="15" t="s">
        <v>82</v>
      </c>
      <c r="D19" s="5">
        <v>3000</v>
      </c>
      <c r="E19" s="5" t="s">
        <v>28</v>
      </c>
      <c r="F19" s="5" t="s">
        <v>34</v>
      </c>
      <c r="G19" s="5"/>
    </row>
    <row r="20" ht="16.5" spans="1:7">
      <c r="A20" s="6" t="s">
        <v>83</v>
      </c>
      <c r="B20" s="7" t="s">
        <v>84</v>
      </c>
      <c r="C20" s="15" t="s">
        <v>85</v>
      </c>
      <c r="D20" s="5">
        <v>2500</v>
      </c>
      <c r="E20" s="5" t="s">
        <v>28</v>
      </c>
      <c r="F20" s="5" t="s">
        <v>34</v>
      </c>
      <c r="G20" s="5"/>
    </row>
    <row r="21" ht="33" spans="1:7">
      <c r="A21" s="6" t="s">
        <v>86</v>
      </c>
      <c r="B21" s="7" t="s">
        <v>87</v>
      </c>
      <c r="C21" s="14" t="s">
        <v>88</v>
      </c>
      <c r="D21" s="5">
        <v>500</v>
      </c>
      <c r="E21" s="5" t="s">
        <v>28</v>
      </c>
      <c r="F21" s="5" t="s">
        <v>34</v>
      </c>
      <c r="G21" s="5"/>
    </row>
    <row r="22" ht="16.5" spans="1:7">
      <c r="A22" s="6" t="s">
        <v>89</v>
      </c>
      <c r="B22" s="7" t="s">
        <v>90</v>
      </c>
      <c r="C22" s="15" t="s">
        <v>91</v>
      </c>
      <c r="D22" s="5">
        <v>2500</v>
      </c>
      <c r="E22" s="5" t="s">
        <v>28</v>
      </c>
      <c r="F22" s="5" t="s">
        <v>34</v>
      </c>
      <c r="G22" s="5"/>
    </row>
    <row r="23" ht="33" spans="1:7">
      <c r="A23" s="6" t="s">
        <v>92</v>
      </c>
      <c r="B23" s="7" t="s">
        <v>93</v>
      </c>
      <c r="C23" s="15" t="s">
        <v>94</v>
      </c>
      <c r="D23" s="5">
        <v>5000</v>
      </c>
      <c r="E23" s="5" t="s">
        <v>28</v>
      </c>
      <c r="F23" s="5" t="s">
        <v>34</v>
      </c>
      <c r="G23" s="5"/>
    </row>
    <row r="24" ht="16.5" spans="1:7">
      <c r="A24" s="6" t="s">
        <v>95</v>
      </c>
      <c r="B24" s="9" t="s">
        <v>96</v>
      </c>
      <c r="C24" s="15" t="s">
        <v>97</v>
      </c>
      <c r="D24" s="5">
        <v>3000</v>
      </c>
      <c r="E24" s="5" t="s">
        <v>28</v>
      </c>
      <c r="F24" s="5" t="s">
        <v>34</v>
      </c>
      <c r="G24" s="5"/>
    </row>
    <row r="25" ht="33" spans="1:7">
      <c r="A25" s="6" t="s">
        <v>98</v>
      </c>
      <c r="B25" s="7" t="s">
        <v>99</v>
      </c>
      <c r="C25" s="15" t="s">
        <v>100</v>
      </c>
      <c r="D25" s="5">
        <v>17500</v>
      </c>
      <c r="E25" s="5" t="s">
        <v>28</v>
      </c>
      <c r="F25" s="5" t="s">
        <v>34</v>
      </c>
      <c r="G25" s="5"/>
    </row>
    <row r="26" ht="33" spans="1:7">
      <c r="A26" s="6" t="s">
        <v>101</v>
      </c>
      <c r="B26" s="7" t="s">
        <v>102</v>
      </c>
      <c r="C26" s="15" t="s">
        <v>103</v>
      </c>
      <c r="D26" s="5">
        <v>6000</v>
      </c>
      <c r="E26" s="5" t="s">
        <v>28</v>
      </c>
      <c r="F26" s="5" t="s">
        <v>34</v>
      </c>
      <c r="G26" s="5"/>
    </row>
    <row r="27" ht="16.5" spans="1:7">
      <c r="A27" s="6" t="s">
        <v>104</v>
      </c>
      <c r="B27" s="7" t="s">
        <v>105</v>
      </c>
      <c r="C27" s="15" t="s">
        <v>106</v>
      </c>
      <c r="D27" s="5">
        <v>6000</v>
      </c>
      <c r="E27" s="5" t="s">
        <v>28</v>
      </c>
      <c r="F27" s="5" t="s">
        <v>34</v>
      </c>
      <c r="G27" s="5"/>
    </row>
    <row r="28" ht="16.5" spans="1:7">
      <c r="A28" s="6" t="s">
        <v>107</v>
      </c>
      <c r="B28" s="7" t="s">
        <v>108</v>
      </c>
      <c r="C28" s="15" t="s">
        <v>109</v>
      </c>
      <c r="D28" s="5">
        <v>6000</v>
      </c>
      <c r="E28" s="5" t="s">
        <v>28</v>
      </c>
      <c r="F28" s="5" t="s">
        <v>34</v>
      </c>
      <c r="G28" s="5"/>
    </row>
    <row r="29" ht="16.5" spans="1:7">
      <c r="A29" s="6" t="s">
        <v>110</v>
      </c>
      <c r="B29" s="7" t="s">
        <v>111</v>
      </c>
      <c r="C29" s="15" t="s">
        <v>112</v>
      </c>
      <c r="D29">
        <v>6000</v>
      </c>
      <c r="E29" s="5" t="s">
        <v>28</v>
      </c>
      <c r="F29" s="5" t="s">
        <v>34</v>
      </c>
    </row>
    <row r="30" ht="33" spans="1:7">
      <c r="A30" s="6" t="s">
        <v>113</v>
      </c>
      <c r="B30" s="7" t="s">
        <v>114</v>
      </c>
      <c r="C30" s="15" t="s">
        <v>115</v>
      </c>
      <c r="D30">
        <v>8500</v>
      </c>
      <c r="E30" s="5" t="s">
        <v>28</v>
      </c>
      <c r="F30" s="5" t="s">
        <v>34</v>
      </c>
    </row>
  </sheetData>
  <dataValidations count="1">
    <dataValidation type="list" allowBlank="1" sqref="E3:E30">
      <formula1>"Nước mặt,Nước ngầm,Hỗn hợp"</formula1>
    </dataValidation>
  </dataValidation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0"/>
  <sheetViews>
    <sheetView tabSelected="1" workbookViewId="0">
      <pane ySplit="2" topLeftCell="A23" activePane="bottomLeft" state="frozen"/>
      <selection/>
      <selection pane="bottomLeft" activeCell="E28" sqref="E28"/>
    </sheetView>
  </sheetViews>
  <sheetFormatPr defaultColWidth="8.67619047619048" defaultRowHeight="15"/>
  <cols>
    <col min="1" max="1" width="10.5714285714286" customWidth="1"/>
    <col min="2" max="2" width="30" customWidth="1"/>
    <col min="3" max="3" width="22" customWidth="1"/>
    <col min="4" max="5" width="14" customWidth="1"/>
    <col min="6" max="6" width="26" customWidth="1"/>
    <col min="7" max="8" width="18" customWidth="1"/>
    <col min="9" max="9" width="26" customWidth="1"/>
  </cols>
  <sheetData>
    <row r="1" ht="33.75" customHeight="1" spans="1:9">
      <c r="A1" s="1" t="s">
        <v>18</v>
      </c>
      <c r="B1" s="1" t="s">
        <v>19</v>
      </c>
      <c r="C1" s="1" t="s">
        <v>116</v>
      </c>
      <c r="D1" s="1" t="s">
        <v>117</v>
      </c>
      <c r="E1" s="1" t="s">
        <v>118</v>
      </c>
      <c r="F1" s="1" t="s">
        <v>119</v>
      </c>
      <c r="G1" s="1" t="s">
        <v>120</v>
      </c>
      <c r="H1" s="1" t="s">
        <v>121</v>
      </c>
      <c r="I1" s="1" t="s">
        <v>24</v>
      </c>
    </row>
    <row r="2" ht="25.5" spans="1:9">
      <c r="A2" s="3" t="s">
        <v>25</v>
      </c>
      <c r="B2" s="3" t="str">
        <f>IFERROR(INDEX('01_ThongTinNhaMay'!B:B,MATCH(A2,'01_ThongTinNhaMay'!A:A,0)),"")</f>
        <v>Nhà máy nước Cao Lãnh</v>
      </c>
      <c r="C2" s="3" t="s">
        <v>122</v>
      </c>
      <c r="D2" s="2">
        <v>45000</v>
      </c>
      <c r="E2" s="2">
        <v>46827</v>
      </c>
      <c r="F2" s="3" t="s">
        <v>123</v>
      </c>
      <c r="G2" s="3" t="str">
        <f ca="1">IF(E2="","Chưa có dữ liệu",IF(E2&lt;TODAY(),"Quá hạn",IF(E2-TODAY()&lt;=60,"Sắp hết hạn","Còn hạn")))</f>
        <v>Còn hạn</v>
      </c>
      <c r="H2" s="3"/>
      <c r="I2" s="3" t="s">
        <v>30</v>
      </c>
    </row>
    <row r="3" ht="66" spans="1:9">
      <c r="A3" s="6" t="s">
        <v>31</v>
      </c>
      <c r="B3" s="6" t="str">
        <f>IFERROR(INDEX('01_ThongTinNhaMay'!B:B,MATCH(A3,'01_ThongTinNhaMay'!A:A,0)),"")</f>
        <v>Nhà máy nước mặt Đông Bình</v>
      </c>
      <c r="C3" s="10" t="s">
        <v>124</v>
      </c>
      <c r="D3" s="4"/>
      <c r="E3" s="4"/>
      <c r="F3" s="5" t="s">
        <v>125</v>
      </c>
      <c r="G3" s="6" t="s">
        <v>126</v>
      </c>
      <c r="H3" s="6">
        <v>40000</v>
      </c>
      <c r="I3" s="5"/>
    </row>
    <row r="4" ht="66" spans="1:9">
      <c r="A4" s="6" t="s">
        <v>35</v>
      </c>
      <c r="B4" s="6" t="str">
        <f>IFERROR(INDEX('01_ThongTinNhaMay'!B:B,MATCH(A4,'01_ThongTinNhaMay'!A:A,0)),"")</f>
        <v>Nhà máy nước mặt Tân Long</v>
      </c>
      <c r="C4" s="11" t="s">
        <v>127</v>
      </c>
      <c r="D4" s="4"/>
      <c r="E4" s="4"/>
      <c r="F4" s="5" t="s">
        <v>125</v>
      </c>
      <c r="G4" s="6" t="s">
        <v>126</v>
      </c>
      <c r="H4" s="6">
        <v>6000</v>
      </c>
      <c r="I4" s="5"/>
    </row>
    <row r="5" ht="49.5" spans="1:9">
      <c r="A5" s="6" t="s">
        <v>38</v>
      </c>
      <c r="B5" s="6" t="str">
        <f>IFERROR(INDEX('01_ThongTinNhaMay'!B:B,MATCH(A5,'01_ThongTinNhaMay'!A:A,0)),"")</f>
        <v>Nhà máy nước mặt Mỹ Hiệp</v>
      </c>
      <c r="C5" s="11" t="s">
        <v>128</v>
      </c>
      <c r="D5" s="4"/>
      <c r="E5" s="4"/>
      <c r="F5" s="5" t="s">
        <v>129</v>
      </c>
      <c r="G5" s="6" t="s">
        <v>126</v>
      </c>
      <c r="H5" s="6">
        <v>5000</v>
      </c>
      <c r="I5" s="5"/>
    </row>
    <row r="6" ht="49.5" spans="1:9">
      <c r="A6" s="6" t="s">
        <v>41</v>
      </c>
      <c r="B6" s="6" t="str">
        <f>IFERROR(INDEX('01_ThongTinNhaMay'!B:B,MATCH(A6,'01_ThongTinNhaMay'!A:A,0)),"")</f>
        <v>Nhà máy nước mặt Mỹ An</v>
      </c>
      <c r="C6" s="11" t="s">
        <v>130</v>
      </c>
      <c r="D6" s="4"/>
      <c r="E6" s="4"/>
      <c r="F6" s="5" t="s">
        <v>131</v>
      </c>
      <c r="G6" s="6" t="s">
        <v>126</v>
      </c>
      <c r="H6" s="6">
        <v>13000</v>
      </c>
      <c r="I6" s="5"/>
    </row>
    <row r="7" ht="82.5" spans="1:9">
      <c r="A7" s="6" t="s">
        <v>44</v>
      </c>
      <c r="B7" s="6" t="str">
        <f>IFERROR(INDEX('01_ThongTinNhaMay'!B:B,MATCH(A7,'01_ThongTinNhaMay'!A:A,0)),"")</f>
        <v>Trạm cấp nước Mỹ Thọ</v>
      </c>
      <c r="C7" s="12" t="s">
        <v>132</v>
      </c>
      <c r="D7" s="4"/>
      <c r="E7" s="4"/>
      <c r="F7" s="5" t="s">
        <v>133</v>
      </c>
      <c r="G7" s="6" t="s">
        <v>126</v>
      </c>
      <c r="H7" s="6">
        <v>10000</v>
      </c>
      <c r="I7" s="5"/>
    </row>
    <row r="8" ht="66" spans="1:9">
      <c r="A8" s="6" t="s">
        <v>47</v>
      </c>
      <c r="B8" s="6" t="str">
        <f>IFERROR(INDEX('01_ThongTinNhaMay'!B:B,MATCH(A8,'01_ThongTinNhaMay'!A:A,0)),"")</f>
        <v>Trạm cấp nước Trường Xuân</v>
      </c>
      <c r="C8" s="12" t="s">
        <v>134</v>
      </c>
      <c r="D8" s="4"/>
      <c r="E8" s="4"/>
      <c r="F8" s="5" t="s">
        <v>135</v>
      </c>
      <c r="G8" s="6" t="s">
        <v>126</v>
      </c>
      <c r="H8" s="6">
        <v>2500</v>
      </c>
      <c r="I8" s="5"/>
    </row>
    <row r="9" ht="25.5" spans="1:9">
      <c r="A9" s="6" t="s">
        <v>50</v>
      </c>
      <c r="B9" s="6" t="str">
        <f>IFERROR(INDEX('01_ThongTinNhaMay'!B:B,MATCH(A9,'01_ThongTinNhaMay'!A:A,0)),"")</f>
        <v>Nhà máy nước mặt Trần Quốc Toản</v>
      </c>
      <c r="C9" s="5"/>
      <c r="D9" s="4"/>
      <c r="E9" s="4"/>
      <c r="F9" s="5"/>
      <c r="G9" s="6" t="str">
        <f ca="1">IF(E9="","Chưa có dữ liệu",IF(E9&lt;TODAY(),"Quá hạn",IF(E9-TODAY()&lt;=60,"Sắp hết hạn","Còn hạn")))</f>
        <v>Chưa có dữ liệu</v>
      </c>
      <c r="H9" s="6">
        <v>7000</v>
      </c>
      <c r="I9" s="5"/>
    </row>
    <row r="10" spans="1:9">
      <c r="A10" s="6" t="s">
        <v>53</v>
      </c>
      <c r="B10" s="6" t="str">
        <f>IFERROR(INDEX('01_ThongTinNhaMay'!B:B,MATCH(A10,'01_ThongTinNhaMay'!A:A,0)),"")</f>
        <v>Trạm cấp nước Tân Nghĩa</v>
      </c>
      <c r="C10" s="5"/>
      <c r="D10" s="4"/>
      <c r="E10" s="4"/>
      <c r="F10" s="5"/>
      <c r="G10" s="6" t="str">
        <f ca="1">IF(E10="","Chưa có dữ liệu",IF(E10&lt;TODAY(),"Quá hạn",IF(E10-TODAY()&lt;=60,"Sắp hết hạn","Còn hạn")))</f>
        <v>Chưa có dữ liệu</v>
      </c>
      <c r="H10" s="6">
        <v>1800</v>
      </c>
      <c r="I10" s="5"/>
    </row>
    <row r="11" ht="66" spans="1:9">
      <c r="A11" s="6" t="s">
        <v>56</v>
      </c>
      <c r="B11" s="6" t="str">
        <f>IFERROR(INDEX('01_ThongTinNhaMay'!B:B,MATCH(A11,'01_ThongTinNhaMay'!A:A,0)),"")</f>
        <v>Nhà máy nước Sa Đéc</v>
      </c>
      <c r="C11" s="11" t="s">
        <v>136</v>
      </c>
      <c r="D11" s="4"/>
      <c r="E11" s="4"/>
      <c r="F11" s="5" t="s">
        <v>137</v>
      </c>
      <c r="G11" s="6" t="s">
        <v>126</v>
      </c>
      <c r="H11" s="6">
        <v>17000</v>
      </c>
      <c r="I11" s="5"/>
    </row>
    <row r="12" ht="66" spans="1:9">
      <c r="A12" s="6" t="s">
        <v>59</v>
      </c>
      <c r="B12" s="6" t="str">
        <f>IFERROR(INDEX('01_ThongTinNhaMay'!B:B,MATCH(A12,'01_ThongTinNhaMay'!A:A,0)),"")</f>
        <v>Nhà máy nước KCN C</v>
      </c>
      <c r="C12" s="11" t="s">
        <v>138</v>
      </c>
      <c r="D12" s="4"/>
      <c r="E12" s="4"/>
      <c r="F12" s="5" t="s">
        <v>139</v>
      </c>
      <c r="G12" s="6" t="s">
        <v>126</v>
      </c>
      <c r="H12" s="6">
        <v>15000</v>
      </c>
      <c r="I12" s="5"/>
    </row>
    <row r="13" ht="66" spans="1:9">
      <c r="A13" s="6" t="s">
        <v>62</v>
      </c>
      <c r="B13" s="6" t="str">
        <f>IFERROR(INDEX('01_ThongTinNhaMay'!B:B,MATCH(A13,'01_ThongTinNhaMay'!A:A,0)),"")</f>
        <v>Nhà máy nước mặt Nha Mân</v>
      </c>
      <c r="C13" s="11" t="s">
        <v>140</v>
      </c>
      <c r="D13" s="4"/>
      <c r="E13" s="4"/>
      <c r="F13" s="5"/>
      <c r="G13" s="6" t="s">
        <v>126</v>
      </c>
      <c r="H13" s="6">
        <v>5000</v>
      </c>
      <c r="I13" s="5"/>
    </row>
    <row r="14" ht="66" spans="1:9">
      <c r="A14" s="6" t="s">
        <v>65</v>
      </c>
      <c r="B14" s="6" t="str">
        <f>IFERROR(INDEX('01_ThongTinNhaMay'!B:B,MATCH(A14,'01_ThongTinNhaMay'!A:A,0)),"")</f>
        <v>Nhà máy nước mặt Nha Mân 2</v>
      </c>
      <c r="C14" s="11" t="s">
        <v>141</v>
      </c>
      <c r="D14" s="4"/>
      <c r="E14" s="4"/>
      <c r="F14" s="5" t="s">
        <v>142</v>
      </c>
      <c r="G14" s="6" t="s">
        <v>126</v>
      </c>
      <c r="H14" s="6">
        <v>3500</v>
      </c>
      <c r="I14" s="5"/>
    </row>
    <row r="15" ht="49.5" spans="1:9">
      <c r="A15" s="6" t="s">
        <v>68</v>
      </c>
      <c r="B15" s="6" t="str">
        <f>IFERROR(INDEX('01_ThongTinNhaMay'!B:B,MATCH(A15,'01_ThongTinNhaMay'!A:A,0)),"")</f>
        <v>Nhà máy nước mặt An Hiệp</v>
      </c>
      <c r="C15" s="12" t="s">
        <v>143</v>
      </c>
      <c r="D15" s="4"/>
      <c r="E15" s="4"/>
      <c r="F15" s="5" t="s">
        <v>144</v>
      </c>
      <c r="G15" s="6" t="s">
        <v>126</v>
      </c>
      <c r="H15" s="6">
        <v>2500</v>
      </c>
      <c r="I15" s="5"/>
    </row>
    <row r="16" ht="16.5" spans="1:9">
      <c r="A16" s="6" t="s">
        <v>71</v>
      </c>
      <c r="B16" s="6" t="str">
        <f>IFERROR(INDEX('01_ThongTinNhaMay'!B:B,MATCH(A16,'01_ThongTinNhaMay'!A:A,0)),"")</f>
        <v>Nhà máy nước mặt An Phú Thuận</v>
      </c>
      <c r="C16" s="13"/>
      <c r="D16" s="4"/>
      <c r="E16" s="4"/>
      <c r="F16" s="5"/>
      <c r="G16" s="6" t="s">
        <v>145</v>
      </c>
      <c r="H16" s="6">
        <v>4000</v>
      </c>
      <c r="I16" s="5"/>
    </row>
    <row r="17" ht="49.5" spans="1:9">
      <c r="A17" s="6" t="s">
        <v>74</v>
      </c>
      <c r="B17" s="6" t="str">
        <f>IFERROR(INDEX('01_ThongTinNhaMay'!B:B,MATCH(A17,'01_ThongTinNhaMay'!A:A,0)),"")</f>
        <v>Nhà máy nước mặt Bình Thành</v>
      </c>
      <c r="C17" s="11" t="s">
        <v>146</v>
      </c>
      <c r="D17" s="4"/>
      <c r="E17" s="4"/>
      <c r="F17" s="5" t="s">
        <v>147</v>
      </c>
      <c r="G17" s="6" t="s">
        <v>148</v>
      </c>
      <c r="H17" s="6">
        <v>4000</v>
      </c>
      <c r="I17" s="5"/>
    </row>
    <row r="18" ht="66" spans="1:9">
      <c r="A18" s="6" t="s">
        <v>77</v>
      </c>
      <c r="B18" s="6" t="str">
        <f>IFERROR(INDEX('01_ThongTinNhaMay'!B:B,MATCH(A18,'01_ThongTinNhaMay'!A:A,0)),"")</f>
        <v>Nhà máy nước mặt Lộ Tiểu</v>
      </c>
      <c r="C18" s="11" t="s">
        <v>149</v>
      </c>
      <c r="D18" s="4"/>
      <c r="E18" s="4"/>
      <c r="F18" s="5" t="s">
        <v>150</v>
      </c>
      <c r="G18" s="6" t="s">
        <v>126</v>
      </c>
      <c r="H18" s="6">
        <v>5000</v>
      </c>
      <c r="I18" s="5"/>
    </row>
    <row r="19" ht="16.5" spans="1:9">
      <c r="A19" s="6" t="s">
        <v>80</v>
      </c>
      <c r="B19" s="6" t="str">
        <f>IFERROR(INDEX('01_ThongTinNhaMay'!B:B,MATCH(A19,'01_ThongTinNhaMay'!A:A,0)),"")</f>
        <v>Nhà máy nước mặt Mương Điều</v>
      </c>
      <c r="C19" s="13"/>
      <c r="D19" s="4"/>
      <c r="E19" s="4"/>
      <c r="F19" s="5"/>
      <c r="G19" s="6" t="s">
        <v>145</v>
      </c>
      <c r="H19" s="6">
        <v>4000</v>
      </c>
      <c r="I19" s="5"/>
    </row>
    <row r="20" ht="16.5" spans="1:9">
      <c r="A20" s="6" t="s">
        <v>83</v>
      </c>
      <c r="B20" s="6" t="str">
        <f>IFERROR(INDEX('01_ThongTinNhaMay'!B:B,MATCH(A20,'01_ThongTinNhaMay'!A:A,0)),"")</f>
        <v>Nhà máy nước mặt Khánh Mỹ</v>
      </c>
      <c r="C20" s="13"/>
      <c r="D20" s="4"/>
      <c r="E20" s="4"/>
      <c r="F20" s="5"/>
      <c r="G20" s="6" t="s">
        <v>145</v>
      </c>
      <c r="H20" s="6">
        <v>2500</v>
      </c>
      <c r="I20" s="5"/>
    </row>
    <row r="21" ht="49.5" spans="1:9">
      <c r="A21" s="6" t="s">
        <v>86</v>
      </c>
      <c r="B21" s="6" t="str">
        <f>IFERROR(INDEX('01_ThongTinNhaMay'!B:B,MATCH(A21,'01_ThongTinNhaMay'!A:A,0)),"")</f>
        <v>Nhà máy nước mặt Vĩnh Thạnh</v>
      </c>
      <c r="C21" s="12" t="s">
        <v>151</v>
      </c>
      <c r="D21" s="4"/>
      <c r="E21" s="4"/>
      <c r="F21" s="5" t="s">
        <v>152</v>
      </c>
      <c r="G21" s="6" t="s">
        <v>126</v>
      </c>
      <c r="H21" s="6"/>
      <c r="I21" s="5"/>
    </row>
    <row r="22" ht="66" spans="1:9">
      <c r="A22" s="6" t="s">
        <v>89</v>
      </c>
      <c r="B22" s="6" t="str">
        <f>IFERROR(INDEX('01_ThongTinNhaMay'!B:B,MATCH(A22,'01_ThongTinNhaMay'!A:A,0)),"")</f>
        <v>Nhà máy nước mặt Phú Hựu</v>
      </c>
      <c r="C22" s="11" t="s">
        <v>153</v>
      </c>
      <c r="D22" s="4"/>
      <c r="E22" s="4"/>
      <c r="F22" s="5" t="s">
        <v>154</v>
      </c>
      <c r="G22" s="6" t="s">
        <v>148</v>
      </c>
      <c r="H22" s="6">
        <v>5000</v>
      </c>
      <c r="I22" s="5"/>
    </row>
    <row r="23" ht="66" spans="1:9">
      <c r="A23" s="6" t="s">
        <v>92</v>
      </c>
      <c r="B23" s="6" t="str">
        <f>IFERROR(INDEX('01_ThongTinNhaMay'!B:B,MATCH(A23,'01_ThongTinNhaMay'!A:A,0)),"")</f>
        <v>Nhà máy nước mặt Tân Phú Trung</v>
      </c>
      <c r="C23" s="11" t="s">
        <v>155</v>
      </c>
      <c r="D23" s="4"/>
      <c r="E23" s="4"/>
      <c r="F23" s="5" t="s">
        <v>156</v>
      </c>
      <c r="G23" s="6" t="s">
        <v>126</v>
      </c>
      <c r="H23" s="6">
        <v>4000</v>
      </c>
      <c r="I23" s="5"/>
    </row>
    <row r="24" spans="1:9">
      <c r="A24" s="6" t="s">
        <v>95</v>
      </c>
      <c r="B24" s="6" t="str">
        <f>IFERROR(INDEX('01_ThongTinNhaMay'!B:B,MATCH(A24,'01_ThongTinNhaMay'!A:A,0)),"")</f>
        <v>Nhà máy nước mặt Tân Dương</v>
      </c>
      <c r="D24" s="4"/>
      <c r="E24" s="4"/>
      <c r="F24" s="5"/>
      <c r="G24" s="6" t="s">
        <v>145</v>
      </c>
      <c r="H24" s="6">
        <v>5000</v>
      </c>
      <c r="I24" s="5"/>
    </row>
    <row r="25" ht="66" spans="1:9">
      <c r="A25" s="6" t="s">
        <v>98</v>
      </c>
      <c r="B25" s="6" t="str">
        <f>IFERROR(INDEX('01_ThongTinNhaMay'!B:B,MATCH(A25,'01_ThongTinNhaMay'!A:A,0)),"")</f>
        <v>Nhà máy nước mặt TP. Hồng Ngự</v>
      </c>
      <c r="C25" s="11" t="s">
        <v>157</v>
      </c>
      <c r="D25" s="4"/>
      <c r="E25" s="4"/>
      <c r="F25" s="5" t="s">
        <v>158</v>
      </c>
      <c r="G25" s="6" t="str">
        <f ca="1">IF(E25="","Chưa có dữ liệu",IF(E25&lt;TODAY(),"Quá hạn",IF(E25-TODAY()&lt;=60,"Sắp hết hạn","Còn hạn")))</f>
        <v>Chưa có dữ liệu</v>
      </c>
      <c r="H25" s="6">
        <v>17500</v>
      </c>
      <c r="I25" s="5"/>
    </row>
    <row r="26" ht="82.5" spans="1:9">
      <c r="A26" s="6" t="s">
        <v>101</v>
      </c>
      <c r="B26" s="6" t="str">
        <f>IFERROR(INDEX('01_ThongTinNhaMay'!B:B,MATCH(A26,'01_ThongTinNhaMay'!A:A,0)),"")</f>
        <v>Nhà máy nước Thường Thới Tiền</v>
      </c>
      <c r="C26" s="11" t="s">
        <v>159</v>
      </c>
      <c r="D26" s="4"/>
      <c r="E26" s="4"/>
      <c r="F26" s="5" t="s">
        <v>160</v>
      </c>
      <c r="G26" s="6" t="str">
        <f ca="1">IF(E26="","Chưa có dữ liệu",IF(E26&lt;TODAY(),"Quá hạn",IF(E26-TODAY()&lt;=60,"Sắp hết hạn","Còn hạn")))</f>
        <v>Chưa có dữ liệu</v>
      </c>
      <c r="H26" s="6">
        <v>6000</v>
      </c>
      <c r="I26" s="5"/>
    </row>
    <row r="27" ht="49.5" spans="1:9">
      <c r="A27" s="6" t="s">
        <v>104</v>
      </c>
      <c r="B27" s="6" t="str">
        <f>IFERROR(INDEX('01_ThongTinNhaMay'!B:B,MATCH(A27,'01_ThongTinNhaMay'!A:A,0)),"")</f>
        <v>Nhà máy nước mặt An Long</v>
      </c>
      <c r="C27" s="11" t="s">
        <v>161</v>
      </c>
      <c r="D27" s="4"/>
      <c r="E27" s="4"/>
      <c r="F27" s="5" t="s">
        <v>162</v>
      </c>
      <c r="G27" s="6" t="str">
        <f ca="1">IF(E27="","Chưa có dữ liệu",IF(E27&lt;TODAY(),"Quá hạn",IF(E27-TODAY()&lt;=60,"Sắp hết hạn","Còn hạn")))</f>
        <v>Chưa có dữ liệu</v>
      </c>
      <c r="H27" s="6">
        <v>6000</v>
      </c>
      <c r="I27" s="5"/>
    </row>
    <row r="28" ht="66" spans="1:9">
      <c r="A28" s="6" t="s">
        <v>107</v>
      </c>
      <c r="B28" s="6" t="str">
        <f>IFERROR(INDEX('01_ThongTinNhaMay'!B:B,MATCH(A28,'01_ThongTinNhaMay'!A:A,0)),"")</f>
        <v>Nhà máy nước Bình Phú</v>
      </c>
      <c r="C28" s="11" t="s">
        <v>163</v>
      </c>
      <c r="D28" s="4"/>
      <c r="E28" s="4"/>
      <c r="F28" s="5" t="s">
        <v>164</v>
      </c>
      <c r="G28" s="6" t="str">
        <f ca="1">IF(E28="","Chưa có dữ liệu",IF(E28&lt;TODAY(),"Quá hạn",IF(E28-TODAY()&lt;=60,"Sắp hết hạn","Còn hạn")))</f>
        <v>Chưa có dữ liệu</v>
      </c>
      <c r="H28" s="6">
        <v>6000</v>
      </c>
      <c r="I28" s="5"/>
    </row>
    <row r="29" ht="82.5" spans="1:9">
      <c r="A29" s="6" t="s">
        <v>110</v>
      </c>
      <c r="B29" s="7" t="s">
        <v>165</v>
      </c>
      <c r="C29" s="11" t="s">
        <v>166</v>
      </c>
      <c r="F29" t="s">
        <v>167</v>
      </c>
      <c r="H29">
        <v>6000</v>
      </c>
    </row>
    <row r="30" ht="49.5" spans="1:9">
      <c r="A30" s="6" t="s">
        <v>113</v>
      </c>
      <c r="B30" s="7" t="s">
        <v>114</v>
      </c>
      <c r="C30" s="11" t="s">
        <v>168</v>
      </c>
      <c r="F30" t="s">
        <v>169</v>
      </c>
      <c r="H30">
        <v>8500</v>
      </c>
    </row>
  </sheetData>
  <conditionalFormatting sqref="G3:H28">
    <cfRule type="cellIs" dxfId="0" priority="2" operator="equal">
      <formula>"Quá hạn"</formula>
    </cfRule>
    <cfRule type="cellIs" dxfId="1" priority="3" operator="equal">
      <formula>"Sắp hết hạn"</formula>
    </cfRule>
    <cfRule type="cellIs" dxfId="2" priority="4" operator="equal">
      <formula>"Còn hạn"</formula>
    </cfRule>
  </conditionalFormatting>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0"/>
  <sheetViews>
    <sheetView workbookViewId="0">
      <pane ySplit="2" topLeftCell="A18" activePane="bottomLeft" state="frozen"/>
      <selection/>
      <selection pane="bottomLeft" activeCell="I2" sqref="I2"/>
    </sheetView>
  </sheetViews>
  <sheetFormatPr defaultColWidth="8.67619047619048" defaultRowHeight="15"/>
  <cols>
    <col min="1" max="1" width="11" customWidth="1"/>
    <col min="2" max="2" width="28" customWidth="1"/>
    <col min="3" max="10" width="14" customWidth="1"/>
    <col min="11" max="11" width="30" customWidth="1"/>
  </cols>
  <sheetData>
    <row r="1" ht="33.75" customHeight="1" spans="1:11">
      <c r="A1" s="1" t="s">
        <v>18</v>
      </c>
      <c r="B1" s="1" t="s">
        <v>19</v>
      </c>
      <c r="C1" s="1" t="s">
        <v>170</v>
      </c>
      <c r="D1" s="1" t="s">
        <v>171</v>
      </c>
      <c r="E1" s="1" t="s">
        <v>172</v>
      </c>
      <c r="F1" s="1" t="s">
        <v>173</v>
      </c>
      <c r="G1" s="1" t="s">
        <v>174</v>
      </c>
      <c r="H1" s="1" t="s">
        <v>175</v>
      </c>
      <c r="I1" s="1" t="s">
        <v>176</v>
      </c>
      <c r="J1" s="1" t="s">
        <v>177</v>
      </c>
      <c r="K1" s="1" t="s">
        <v>24</v>
      </c>
    </row>
    <row r="2" spans="1:11">
      <c r="A2" s="3" t="s">
        <v>25</v>
      </c>
      <c r="B2" s="3" t="str">
        <f>IFERROR(INDEX('01_ThongTinNhaMay'!B:B,MATCH(A2,'01_ThongTinNhaMay'!A:A,0)),"")</f>
        <v>Nhà máy nước Cao Lãnh</v>
      </c>
      <c r="C2" s="3" t="s">
        <v>178</v>
      </c>
      <c r="D2" s="3" t="s">
        <v>179</v>
      </c>
      <c r="E2" s="3" t="s">
        <v>178</v>
      </c>
      <c r="F2" s="3" t="s">
        <v>178</v>
      </c>
      <c r="G2" s="3" t="s">
        <v>178</v>
      </c>
      <c r="H2" s="3" t="s">
        <v>179</v>
      </c>
      <c r="I2" s="3" t="s">
        <v>180</v>
      </c>
      <c r="J2" s="3" t="s">
        <v>180</v>
      </c>
      <c r="K2" s="3" t="s">
        <v>30</v>
      </c>
    </row>
    <row r="3" ht="33" spans="1:11">
      <c r="A3" s="6" t="s">
        <v>31</v>
      </c>
      <c r="B3" s="7" t="s">
        <v>32</v>
      </c>
      <c r="C3" s="5"/>
      <c r="D3" s="5"/>
      <c r="E3" s="5"/>
      <c r="F3" s="5"/>
      <c r="G3" s="5"/>
      <c r="H3" s="5"/>
      <c r="I3" s="5"/>
      <c r="J3" s="5"/>
      <c r="K3" s="5"/>
    </row>
    <row r="4" ht="33" spans="1:11">
      <c r="A4" s="6" t="s">
        <v>35</v>
      </c>
      <c r="B4" s="7" t="s">
        <v>36</v>
      </c>
      <c r="C4" s="5"/>
      <c r="D4" s="5"/>
      <c r="E4" s="5"/>
      <c r="F4" s="5"/>
      <c r="G4" s="5"/>
      <c r="H4" s="5"/>
      <c r="I4" s="5"/>
      <c r="J4" s="5"/>
      <c r="K4" s="5"/>
    </row>
    <row r="5" ht="16.5" spans="1:11">
      <c r="A5" s="6" t="s">
        <v>38</v>
      </c>
      <c r="B5" s="7" t="s">
        <v>39</v>
      </c>
      <c r="C5" s="5"/>
      <c r="D5" s="5"/>
      <c r="E5" s="5"/>
      <c r="F5" s="5"/>
      <c r="G5" s="5"/>
      <c r="H5" s="5"/>
      <c r="I5" s="5"/>
      <c r="J5" s="5"/>
      <c r="K5" s="5"/>
    </row>
    <row r="6" ht="16.5" spans="1:11">
      <c r="A6" s="6" t="s">
        <v>41</v>
      </c>
      <c r="B6" s="7" t="s">
        <v>42</v>
      </c>
      <c r="C6" s="5"/>
      <c r="D6" s="5"/>
      <c r="E6" s="5"/>
      <c r="F6" s="5"/>
      <c r="G6" s="5"/>
      <c r="H6" s="5"/>
      <c r="I6" s="5"/>
      <c r="J6" s="5"/>
      <c r="K6" s="5"/>
    </row>
    <row r="7" ht="16.5" spans="1:11">
      <c r="A7" s="6" t="s">
        <v>44</v>
      </c>
      <c r="B7" s="7" t="s">
        <v>45</v>
      </c>
      <c r="C7" s="5"/>
      <c r="D7" s="5"/>
      <c r="E7" s="5"/>
      <c r="F7" s="5"/>
      <c r="G7" s="5"/>
      <c r="H7" s="5"/>
      <c r="I7" s="5"/>
      <c r="J7" s="5"/>
      <c r="K7" s="5"/>
    </row>
    <row r="8" ht="33" spans="1:11">
      <c r="A8" s="6" t="s">
        <v>47</v>
      </c>
      <c r="B8" s="7" t="s">
        <v>48</v>
      </c>
      <c r="C8" s="5"/>
      <c r="D8" s="5"/>
      <c r="E8" s="5"/>
      <c r="F8" s="5"/>
      <c r="G8" s="5"/>
      <c r="H8" s="5"/>
      <c r="I8" s="5"/>
      <c r="J8" s="5"/>
      <c r="K8" s="5"/>
    </row>
    <row r="9" ht="33" spans="1:11">
      <c r="A9" s="6" t="s">
        <v>50</v>
      </c>
      <c r="B9" s="7" t="s">
        <v>51</v>
      </c>
      <c r="C9" s="5"/>
      <c r="D9" s="5"/>
      <c r="E9" s="5"/>
      <c r="F9" s="5"/>
      <c r="G9" s="5"/>
      <c r="H9" s="5"/>
      <c r="I9" s="5"/>
      <c r="J9" s="5"/>
      <c r="K9" s="5"/>
    </row>
    <row r="10" ht="16.5" spans="1:11">
      <c r="A10" s="6" t="s">
        <v>53</v>
      </c>
      <c r="B10" s="7" t="s">
        <v>54</v>
      </c>
      <c r="C10" s="5"/>
      <c r="D10" s="5"/>
      <c r="E10" s="5"/>
      <c r="F10" s="5"/>
      <c r="G10" s="5"/>
      <c r="H10" s="5"/>
      <c r="I10" s="5"/>
      <c r="J10" s="5"/>
      <c r="K10" s="5"/>
    </row>
    <row r="11" ht="16.5" spans="1:11">
      <c r="A11" s="6" t="s">
        <v>56</v>
      </c>
      <c r="B11" s="7" t="s">
        <v>57</v>
      </c>
      <c r="C11" s="5"/>
      <c r="D11" s="5"/>
      <c r="E11" s="5"/>
      <c r="F11" s="5"/>
      <c r="G11" s="5"/>
      <c r="H11" s="5"/>
      <c r="I11" s="5"/>
      <c r="J11" s="5"/>
      <c r="K11" s="5"/>
    </row>
    <row r="12" ht="16.5" spans="1:11">
      <c r="A12" s="6" t="s">
        <v>59</v>
      </c>
      <c r="B12" s="7" t="s">
        <v>60</v>
      </c>
      <c r="C12" s="5"/>
      <c r="D12" s="5"/>
      <c r="E12" s="5"/>
      <c r="F12" s="5"/>
      <c r="G12" s="5"/>
      <c r="H12" s="5"/>
      <c r="I12" s="5"/>
      <c r="J12" s="5"/>
      <c r="K12" s="5"/>
    </row>
    <row r="13" ht="16.5" spans="1:11">
      <c r="A13" s="6" t="s">
        <v>62</v>
      </c>
      <c r="B13" s="7" t="s">
        <v>63</v>
      </c>
      <c r="C13" s="5"/>
      <c r="D13" s="5"/>
      <c r="E13" s="5"/>
      <c r="F13" s="5"/>
      <c r="G13" s="5"/>
      <c r="H13" s="5"/>
      <c r="I13" s="5"/>
      <c r="J13" s="5"/>
      <c r="K13" s="5"/>
    </row>
    <row r="14" ht="33" spans="1:11">
      <c r="A14" s="6" t="s">
        <v>65</v>
      </c>
      <c r="B14" s="7" t="s">
        <v>66</v>
      </c>
      <c r="C14" s="5"/>
      <c r="D14" s="5"/>
      <c r="E14" s="5"/>
      <c r="F14" s="5"/>
      <c r="G14" s="5"/>
      <c r="H14" s="5"/>
      <c r="I14" s="5"/>
      <c r="J14" s="5"/>
      <c r="K14" s="5"/>
    </row>
    <row r="15" ht="16.5" spans="1:11">
      <c r="A15" s="6" t="s">
        <v>68</v>
      </c>
      <c r="B15" s="8" t="s">
        <v>69</v>
      </c>
      <c r="C15" s="5"/>
      <c r="D15" s="5"/>
      <c r="E15" s="5"/>
      <c r="F15" s="5"/>
      <c r="G15" s="5"/>
      <c r="H15" s="5"/>
      <c r="I15" s="5"/>
      <c r="J15" s="5"/>
      <c r="K15" s="5"/>
    </row>
    <row r="16" ht="33" spans="1:11">
      <c r="A16" s="6" t="s">
        <v>71</v>
      </c>
      <c r="B16" s="7" t="s">
        <v>72</v>
      </c>
      <c r="C16" s="5"/>
      <c r="D16" s="5"/>
      <c r="E16" s="5"/>
      <c r="F16" s="5"/>
      <c r="G16" s="5"/>
      <c r="H16" s="5"/>
      <c r="I16" s="5"/>
      <c r="J16" s="5"/>
      <c r="K16" s="5"/>
    </row>
    <row r="17" ht="33" spans="1:11">
      <c r="A17" s="6" t="s">
        <v>74</v>
      </c>
      <c r="B17" s="7" t="s">
        <v>75</v>
      </c>
      <c r="C17" s="5"/>
      <c r="D17" s="5"/>
      <c r="E17" s="5"/>
      <c r="F17" s="5"/>
      <c r="G17" s="5"/>
      <c r="H17" s="5"/>
      <c r="I17" s="5"/>
      <c r="J17" s="5"/>
      <c r="K17" s="5"/>
    </row>
    <row r="18" ht="16.5" spans="1:11">
      <c r="A18" s="6" t="s">
        <v>77</v>
      </c>
      <c r="B18" s="7" t="s">
        <v>78</v>
      </c>
      <c r="C18" s="5"/>
      <c r="D18" s="5"/>
      <c r="E18" s="5"/>
      <c r="F18" s="5"/>
      <c r="G18" s="5"/>
      <c r="H18" s="5"/>
      <c r="I18" s="5"/>
      <c r="J18" s="5"/>
      <c r="K18" s="5"/>
    </row>
    <row r="19" ht="33" spans="1:11">
      <c r="A19" s="6" t="s">
        <v>80</v>
      </c>
      <c r="B19" s="7" t="s">
        <v>81</v>
      </c>
      <c r="C19" s="5"/>
      <c r="D19" s="5"/>
      <c r="E19" s="5"/>
      <c r="F19" s="5"/>
      <c r="G19" s="5"/>
      <c r="H19" s="5"/>
      <c r="I19" s="5"/>
      <c r="J19" s="5"/>
      <c r="K19" s="5"/>
    </row>
    <row r="20" ht="33" spans="1:11">
      <c r="A20" s="6" t="s">
        <v>83</v>
      </c>
      <c r="B20" s="7" t="s">
        <v>84</v>
      </c>
      <c r="C20" s="5"/>
      <c r="D20" s="5"/>
      <c r="E20" s="5"/>
      <c r="F20" s="5"/>
      <c r="G20" s="5"/>
      <c r="H20" s="5"/>
      <c r="I20" s="5"/>
      <c r="J20" s="5"/>
      <c r="K20" s="5"/>
    </row>
    <row r="21" ht="33" spans="1:11">
      <c r="A21" s="6" t="s">
        <v>86</v>
      </c>
      <c r="B21" s="7" t="s">
        <v>87</v>
      </c>
      <c r="C21" s="5"/>
      <c r="D21" s="5"/>
      <c r="E21" s="5"/>
      <c r="F21" s="5"/>
      <c r="G21" s="5"/>
      <c r="H21" s="5"/>
      <c r="I21" s="5"/>
      <c r="J21" s="5"/>
      <c r="K21" s="5"/>
    </row>
    <row r="22" ht="16.5" spans="1:11">
      <c r="A22" s="6" t="s">
        <v>89</v>
      </c>
      <c r="B22" s="7" t="s">
        <v>90</v>
      </c>
      <c r="C22" s="5"/>
      <c r="D22" s="5"/>
      <c r="E22" s="5"/>
      <c r="F22" s="5"/>
      <c r="G22" s="5"/>
      <c r="H22" s="5"/>
      <c r="I22" s="5"/>
      <c r="J22" s="5"/>
      <c r="K22" s="5"/>
    </row>
    <row r="23" ht="33" spans="1:11">
      <c r="A23" s="6" t="s">
        <v>92</v>
      </c>
      <c r="B23" s="7" t="s">
        <v>93</v>
      </c>
      <c r="C23" s="5"/>
      <c r="D23" s="5"/>
      <c r="E23" s="5"/>
      <c r="F23" s="5"/>
      <c r="G23" s="5"/>
      <c r="H23" s="5"/>
      <c r="I23" s="5"/>
      <c r="J23" s="5"/>
      <c r="K23" s="5"/>
    </row>
    <row r="24" ht="33" spans="1:11">
      <c r="A24" s="6" t="s">
        <v>95</v>
      </c>
      <c r="B24" s="9" t="s">
        <v>96</v>
      </c>
      <c r="C24" s="5"/>
      <c r="D24" s="5"/>
      <c r="E24" s="5"/>
      <c r="F24" s="5"/>
      <c r="G24" s="5"/>
      <c r="H24" s="5"/>
      <c r="I24" s="5"/>
      <c r="J24" s="5"/>
      <c r="K24" s="5"/>
    </row>
    <row r="25" ht="33" spans="1:11">
      <c r="A25" s="6" t="s">
        <v>98</v>
      </c>
      <c r="B25" s="7" t="s">
        <v>99</v>
      </c>
      <c r="C25" s="5"/>
      <c r="D25" s="5"/>
      <c r="E25" s="5"/>
      <c r="F25" s="5"/>
      <c r="G25" s="5"/>
      <c r="H25" s="5"/>
      <c r="I25" s="5"/>
      <c r="J25" s="5"/>
      <c r="K25" s="5"/>
    </row>
    <row r="26" ht="33" spans="1:11">
      <c r="A26" s="6" t="s">
        <v>101</v>
      </c>
      <c r="B26" s="7" t="s">
        <v>102</v>
      </c>
      <c r="C26" s="5"/>
      <c r="D26" s="5"/>
      <c r="E26" s="5"/>
      <c r="F26" s="5"/>
      <c r="G26" s="5"/>
      <c r="H26" s="5"/>
      <c r="I26" s="5"/>
      <c r="J26" s="5"/>
      <c r="K26" s="5"/>
    </row>
    <row r="27" ht="16.5" spans="1:11">
      <c r="A27" s="6" t="s">
        <v>104</v>
      </c>
      <c r="B27" s="7" t="s">
        <v>105</v>
      </c>
      <c r="C27" s="5"/>
      <c r="D27" s="5"/>
      <c r="E27" s="5"/>
      <c r="F27" s="5"/>
      <c r="G27" s="5"/>
      <c r="H27" s="5"/>
      <c r="I27" s="5"/>
      <c r="J27" s="5"/>
      <c r="K27" s="5"/>
    </row>
    <row r="28" ht="16.5" spans="1:11">
      <c r="A28" s="6" t="s">
        <v>107</v>
      </c>
      <c r="B28" s="7" t="s">
        <v>108</v>
      </c>
      <c r="C28" s="5"/>
      <c r="D28" s="5"/>
      <c r="E28" s="5"/>
      <c r="F28" s="5"/>
      <c r="G28" s="5"/>
      <c r="H28" s="5"/>
      <c r="I28" s="5"/>
      <c r="J28" s="5"/>
      <c r="K28" s="5"/>
    </row>
    <row r="29" ht="16.5" spans="1:11">
      <c r="A29" s="6" t="s">
        <v>110</v>
      </c>
      <c r="B29" s="7" t="s">
        <v>111</v>
      </c>
    </row>
    <row r="30" ht="33" spans="1:11">
      <c r="A30" s="6" t="s">
        <v>113</v>
      </c>
      <c r="B30" s="7" t="s">
        <v>114</v>
      </c>
    </row>
  </sheetData>
  <conditionalFormatting sqref="C2:C28">
    <cfRule type="cellIs" dxfId="0" priority="2" operator="equal">
      <formula>"Quá hạn"</formula>
    </cfRule>
    <cfRule type="cellIs" dxfId="1" priority="3" operator="equal">
      <formula>"Sắp đến hạn"</formula>
    </cfRule>
    <cfRule type="cellIs" dxfId="2" priority="4" operator="equal">
      <formula>"Đạt/Còn hạn"</formula>
    </cfRule>
    <cfRule type="cellIs" dxfId="3" priority="5" operator="equal">
      <formula>"Cần rà soát"</formula>
    </cfRule>
  </conditionalFormatting>
  <conditionalFormatting sqref="D2:D28">
    <cfRule type="cellIs" dxfId="0" priority="6" operator="equal">
      <formula>"Quá hạn"</formula>
    </cfRule>
    <cfRule type="cellIs" dxfId="1" priority="7" operator="equal">
      <formula>"Sắp đến hạn"</formula>
    </cfRule>
    <cfRule type="cellIs" dxfId="2" priority="8" operator="equal">
      <formula>"Đạt/Còn hạn"</formula>
    </cfRule>
    <cfRule type="cellIs" dxfId="3" priority="9" operator="equal">
      <formula>"Cần rà soát"</formula>
    </cfRule>
  </conditionalFormatting>
  <conditionalFormatting sqref="E2:E28">
    <cfRule type="cellIs" dxfId="0" priority="10" operator="equal">
      <formula>"Quá hạn"</formula>
    </cfRule>
    <cfRule type="cellIs" dxfId="1" priority="11" operator="equal">
      <formula>"Sắp đến hạn"</formula>
    </cfRule>
    <cfRule type="cellIs" dxfId="2" priority="12" operator="equal">
      <formula>"Đạt/Còn hạn"</formula>
    </cfRule>
    <cfRule type="cellIs" dxfId="3" priority="13" operator="equal">
      <formula>"Cần rà soát"</formula>
    </cfRule>
  </conditionalFormatting>
  <conditionalFormatting sqref="F2:F28">
    <cfRule type="cellIs" dxfId="0" priority="14" operator="equal">
      <formula>"Quá hạn"</formula>
    </cfRule>
    <cfRule type="cellIs" dxfId="1" priority="15" operator="equal">
      <formula>"Sắp đến hạn"</formula>
    </cfRule>
    <cfRule type="cellIs" dxfId="2" priority="16" operator="equal">
      <formula>"Đạt/Còn hạn"</formula>
    </cfRule>
    <cfRule type="cellIs" dxfId="3" priority="17" operator="equal">
      <formula>"Cần rà soát"</formula>
    </cfRule>
  </conditionalFormatting>
  <conditionalFormatting sqref="G2:G28">
    <cfRule type="cellIs" dxfId="0" priority="18" operator="equal">
      <formula>"Quá hạn"</formula>
    </cfRule>
    <cfRule type="cellIs" dxfId="1" priority="19" operator="equal">
      <formula>"Sắp đến hạn"</formula>
    </cfRule>
    <cfRule type="cellIs" dxfId="2" priority="20" operator="equal">
      <formula>"Đạt/Còn hạn"</formula>
    </cfRule>
    <cfRule type="cellIs" dxfId="3" priority="21" operator="equal">
      <formula>"Cần rà soát"</formula>
    </cfRule>
  </conditionalFormatting>
  <conditionalFormatting sqref="H2:H28">
    <cfRule type="cellIs" dxfId="0" priority="22" operator="equal">
      <formula>"Quá hạn"</formula>
    </cfRule>
    <cfRule type="cellIs" dxfId="1" priority="23" operator="equal">
      <formula>"Sắp đến hạn"</formula>
    </cfRule>
    <cfRule type="cellIs" dxfId="2" priority="24" operator="equal">
      <formula>"Đạt/Còn hạn"</formula>
    </cfRule>
    <cfRule type="cellIs" dxfId="3" priority="25" operator="equal">
      <formula>"Cần rà soát"</formula>
    </cfRule>
  </conditionalFormatting>
  <conditionalFormatting sqref="I2:I28">
    <cfRule type="cellIs" dxfId="0" priority="26" operator="equal">
      <formula>"Quá hạn"</formula>
    </cfRule>
    <cfRule type="cellIs" dxfId="1" priority="27" operator="equal">
      <formula>"Sắp đến hạn"</formula>
    </cfRule>
    <cfRule type="cellIs" dxfId="2" priority="28" operator="equal">
      <formula>"Đạt/Còn hạn"</formula>
    </cfRule>
    <cfRule type="cellIs" dxfId="3" priority="29" operator="equal">
      <formula>"Cần rà soát"</formula>
    </cfRule>
  </conditionalFormatting>
  <conditionalFormatting sqref="J2:J28">
    <cfRule type="cellIs" dxfId="0" priority="30" operator="equal">
      <formula>"Quá hạn"</formula>
    </cfRule>
    <cfRule type="cellIs" dxfId="1" priority="31" operator="equal">
      <formula>"Sắp đến hạn"</formula>
    </cfRule>
    <cfRule type="cellIs" dxfId="2" priority="32" operator="equal">
      <formula>"Đạt/Còn hạn"</formula>
    </cfRule>
    <cfRule type="cellIs" dxfId="3" priority="33" operator="equal">
      <formula>"Cần rà soát"</formula>
    </cfRule>
  </conditionalFormatting>
  <dataValidations count="1">
    <dataValidation type="list" allowBlank="1" sqref="C2:J28">
      <formula1>"Đạt/Còn hạn,Sắp đến hạn,Quá hạn,Cần rà soát,Chưa có dữ liệu"</formula1>
    </dataValidation>
  </dataValidation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2"/>
  <sheetViews>
    <sheetView workbookViewId="0">
      <pane ySplit="2" topLeftCell="A3" activePane="bottomLeft" state="frozen"/>
      <selection/>
      <selection pane="bottomLeft" activeCell="D13" sqref="D13"/>
    </sheetView>
  </sheetViews>
  <sheetFormatPr defaultColWidth="8.67619047619048" defaultRowHeight="15" outlineLevelCol="7"/>
  <cols>
    <col min="1" max="1" width="14" customWidth="1"/>
    <col min="2" max="2" width="40" customWidth="1"/>
    <col min="3" max="3" width="11" customWidth="1"/>
    <col min="4" max="4" width="16" customWidth="1"/>
    <col min="5" max="5" width="14" customWidth="1"/>
    <col min="6" max="6" width="20" customWidth="1"/>
    <col min="7" max="7" width="16" customWidth="1"/>
    <col min="8" max="8" width="26" customWidth="1"/>
  </cols>
  <sheetData>
    <row r="1" ht="33.75" customHeight="1" spans="1:8">
      <c r="A1" s="1" t="s">
        <v>181</v>
      </c>
      <c r="B1" s="1" t="s">
        <v>182</v>
      </c>
      <c r="C1" s="1" t="s">
        <v>18</v>
      </c>
      <c r="D1" s="1" t="s">
        <v>183</v>
      </c>
      <c r="E1" s="1" t="s">
        <v>184</v>
      </c>
      <c r="F1" s="1" t="s">
        <v>23</v>
      </c>
      <c r="G1" s="1" t="s">
        <v>185</v>
      </c>
      <c r="H1" s="1" t="s">
        <v>24</v>
      </c>
    </row>
    <row r="2" ht="25.5" spans="1:8">
      <c r="A2" s="2">
        <v>46270</v>
      </c>
      <c r="B2" s="3" t="s">
        <v>186</v>
      </c>
      <c r="C2" s="3" t="s">
        <v>25</v>
      </c>
      <c r="D2" s="3" t="s">
        <v>171</v>
      </c>
      <c r="E2" s="3" t="s">
        <v>187</v>
      </c>
      <c r="F2" s="3" t="s">
        <v>29</v>
      </c>
      <c r="G2" s="3" t="s">
        <v>188</v>
      </c>
      <c r="H2" s="3" t="s">
        <v>30</v>
      </c>
    </row>
    <row r="3" spans="1:8">
      <c r="A3" s="4"/>
      <c r="B3" s="5"/>
      <c r="C3" s="5"/>
      <c r="D3" s="5"/>
      <c r="E3" s="5"/>
      <c r="F3" s="5"/>
      <c r="G3" s="5"/>
      <c r="H3" s="5"/>
    </row>
    <row r="4" spans="1:8">
      <c r="A4" s="4"/>
      <c r="B4" s="5"/>
      <c r="C4" s="5"/>
      <c r="D4" s="5"/>
      <c r="E4" s="5"/>
      <c r="F4" s="5"/>
      <c r="G4" s="5"/>
      <c r="H4" s="5"/>
    </row>
    <row r="5" spans="1:8">
      <c r="A5" s="4"/>
      <c r="B5" s="5"/>
      <c r="C5" s="5"/>
      <c r="D5" s="5"/>
      <c r="E5" s="5"/>
      <c r="F5" s="5"/>
      <c r="G5" s="5"/>
      <c r="H5" s="5"/>
    </row>
    <row r="6" spans="1:8">
      <c r="A6" s="4"/>
      <c r="B6" s="5"/>
      <c r="C6" s="5"/>
      <c r="D6" s="5"/>
      <c r="E6" s="5"/>
      <c r="F6" s="5"/>
      <c r="G6" s="5"/>
      <c r="H6" s="5"/>
    </row>
    <row r="7" spans="1:8">
      <c r="A7" s="4"/>
      <c r="B7" s="5"/>
      <c r="C7" s="5"/>
      <c r="D7" s="5"/>
      <c r="E7" s="5"/>
      <c r="F7" s="5"/>
      <c r="G7" s="5"/>
      <c r="H7" s="5"/>
    </row>
    <row r="8" spans="1:8">
      <c r="A8" s="4"/>
      <c r="B8" s="5"/>
      <c r="C8" s="5"/>
      <c r="D8" s="5"/>
      <c r="E8" s="5"/>
      <c r="F8" s="5"/>
      <c r="G8" s="5"/>
      <c r="H8" s="5"/>
    </row>
    <row r="9" spans="1:8">
      <c r="A9" s="4"/>
      <c r="B9" s="5"/>
      <c r="C9" s="5"/>
      <c r="D9" s="5"/>
      <c r="E9" s="5"/>
      <c r="F9" s="5"/>
      <c r="G9" s="5"/>
      <c r="H9" s="5"/>
    </row>
    <row r="10" spans="1:8">
      <c r="A10" s="4"/>
      <c r="B10" s="5"/>
      <c r="C10" s="5"/>
      <c r="D10" s="5"/>
      <c r="E10" s="5"/>
      <c r="F10" s="5"/>
      <c r="G10" s="5"/>
      <c r="H10" s="5"/>
    </row>
    <row r="11" spans="1:8">
      <c r="A11" s="4"/>
      <c r="B11" s="5"/>
      <c r="C11" s="5"/>
      <c r="D11" s="5"/>
      <c r="E11" s="5"/>
      <c r="F11" s="5"/>
      <c r="G11" s="5"/>
      <c r="H11" s="5"/>
    </row>
    <row r="12" spans="1:8">
      <c r="A12" s="4"/>
      <c r="B12" s="5"/>
      <c r="C12" s="5"/>
      <c r="D12" s="5"/>
      <c r="E12" s="5"/>
      <c r="F12" s="5"/>
      <c r="G12" s="5"/>
      <c r="H12" s="5"/>
    </row>
    <row r="13" spans="1:8">
      <c r="A13" s="4"/>
      <c r="B13" s="5"/>
      <c r="C13" s="5"/>
      <c r="D13" s="5"/>
      <c r="E13" s="5"/>
      <c r="F13" s="5"/>
      <c r="G13" s="5"/>
      <c r="H13" s="5"/>
    </row>
    <row r="14" spans="1:8">
      <c r="A14" s="4"/>
      <c r="B14" s="5"/>
      <c r="C14" s="5"/>
      <c r="D14" s="5"/>
      <c r="E14" s="5"/>
      <c r="F14" s="5"/>
      <c r="G14" s="5"/>
      <c r="H14" s="5"/>
    </row>
    <row r="15" spans="1:8">
      <c r="A15" s="4"/>
      <c r="B15" s="5"/>
      <c r="C15" s="5"/>
      <c r="D15" s="5"/>
      <c r="E15" s="5"/>
      <c r="F15" s="5"/>
      <c r="G15" s="5"/>
      <c r="H15" s="5"/>
    </row>
    <row r="16" spans="1:8">
      <c r="A16" s="4"/>
      <c r="B16" s="5"/>
      <c r="C16" s="5"/>
      <c r="D16" s="5"/>
      <c r="E16" s="5"/>
      <c r="F16" s="5"/>
      <c r="G16" s="5"/>
      <c r="H16" s="5"/>
    </row>
    <row r="17" spans="1:8">
      <c r="A17" s="4"/>
      <c r="B17" s="5"/>
      <c r="C17" s="5"/>
      <c r="D17" s="5"/>
      <c r="E17" s="5"/>
      <c r="F17" s="5"/>
      <c r="G17" s="5"/>
      <c r="H17" s="5"/>
    </row>
    <row r="18" spans="1:8">
      <c r="A18" s="4"/>
      <c r="B18" s="5"/>
      <c r="C18" s="5"/>
      <c r="D18" s="5"/>
      <c r="E18" s="5"/>
      <c r="F18" s="5"/>
      <c r="G18" s="5"/>
      <c r="H18" s="5"/>
    </row>
    <row r="19" spans="1:8">
      <c r="A19" s="4"/>
      <c r="B19" s="5"/>
      <c r="C19" s="5"/>
      <c r="D19" s="5"/>
      <c r="E19" s="5"/>
      <c r="F19" s="5"/>
      <c r="G19" s="5"/>
      <c r="H19" s="5"/>
    </row>
    <row r="20" spans="1:8">
      <c r="A20" s="4"/>
      <c r="B20" s="5"/>
      <c r="C20" s="5"/>
      <c r="D20" s="5"/>
      <c r="E20" s="5"/>
      <c r="F20" s="5"/>
      <c r="G20" s="5"/>
      <c r="H20" s="5"/>
    </row>
    <row r="21" spans="1:8">
      <c r="A21" s="4"/>
      <c r="B21" s="5"/>
      <c r="C21" s="5"/>
      <c r="D21" s="5"/>
      <c r="E21" s="5"/>
      <c r="F21" s="5"/>
      <c r="G21" s="5"/>
      <c r="H21" s="5"/>
    </row>
    <row r="22" spans="1:8">
      <c r="A22" s="4"/>
      <c r="B22" s="5"/>
      <c r="C22" s="5"/>
      <c r="D22" s="5"/>
      <c r="E22" s="5"/>
      <c r="F22" s="5"/>
      <c r="G22" s="5"/>
      <c r="H22" s="5"/>
    </row>
    <row r="23" spans="1:8">
      <c r="A23" s="4"/>
      <c r="B23" s="5"/>
      <c r="C23" s="5"/>
      <c r="D23" s="5"/>
      <c r="E23" s="5"/>
      <c r="F23" s="5"/>
      <c r="G23" s="5"/>
      <c r="H23" s="5"/>
    </row>
    <row r="24" spans="1:8">
      <c r="A24" s="4"/>
      <c r="B24" s="5"/>
      <c r="C24" s="5"/>
      <c r="D24" s="5"/>
      <c r="E24" s="5"/>
      <c r="F24" s="5"/>
      <c r="G24" s="5"/>
      <c r="H24" s="5"/>
    </row>
    <row r="25" spans="1:8">
      <c r="A25" s="4"/>
      <c r="B25" s="5"/>
      <c r="C25" s="5"/>
      <c r="D25" s="5"/>
      <c r="E25" s="5"/>
      <c r="F25" s="5"/>
      <c r="G25" s="5"/>
      <c r="H25" s="5"/>
    </row>
    <row r="26" spans="1:8">
      <c r="A26" s="4"/>
      <c r="B26" s="5"/>
      <c r="C26" s="5"/>
      <c r="D26" s="5"/>
      <c r="E26" s="5"/>
      <c r="F26" s="5"/>
      <c r="G26" s="5"/>
      <c r="H26" s="5"/>
    </row>
    <row r="27" spans="1:8">
      <c r="A27" s="4"/>
      <c r="B27" s="5"/>
      <c r="C27" s="5"/>
      <c r="D27" s="5"/>
      <c r="E27" s="5"/>
      <c r="F27" s="5"/>
      <c r="G27" s="5"/>
      <c r="H27" s="5"/>
    </row>
    <row r="28" spans="1:8">
      <c r="A28" s="4"/>
      <c r="B28" s="5"/>
      <c r="C28" s="5"/>
      <c r="D28" s="5"/>
      <c r="E28" s="5"/>
      <c r="F28" s="5"/>
      <c r="G28" s="5"/>
      <c r="H28" s="5"/>
    </row>
    <row r="29" spans="1:8">
      <c r="A29" s="4"/>
      <c r="B29" s="5"/>
      <c r="C29" s="5"/>
      <c r="D29" s="5"/>
      <c r="E29" s="5"/>
      <c r="F29" s="5"/>
      <c r="G29" s="5"/>
      <c r="H29" s="5"/>
    </row>
    <row r="30" spans="1:8">
      <c r="A30" s="4"/>
      <c r="B30" s="5"/>
      <c r="C30" s="5"/>
      <c r="D30" s="5"/>
      <c r="E30" s="5"/>
      <c r="F30" s="5"/>
      <c r="G30" s="5"/>
      <c r="H30" s="5"/>
    </row>
    <row r="31" spans="1:8">
      <c r="A31" s="4"/>
      <c r="B31" s="5"/>
      <c r="C31" s="5"/>
      <c r="D31" s="5"/>
      <c r="E31" s="5"/>
      <c r="F31" s="5"/>
      <c r="G31" s="5"/>
      <c r="H31" s="5"/>
    </row>
    <row r="32" spans="1:8">
      <c r="A32" s="4"/>
      <c r="B32" s="5"/>
      <c r="C32" s="5"/>
      <c r="D32" s="5"/>
      <c r="E32" s="5"/>
      <c r="F32" s="5"/>
      <c r="G32" s="5"/>
      <c r="H32" s="5"/>
    </row>
    <row r="33" spans="1:8">
      <c r="A33" s="4"/>
      <c r="B33" s="5"/>
      <c r="C33" s="5"/>
      <c r="D33" s="5"/>
      <c r="E33" s="5"/>
      <c r="F33" s="5"/>
      <c r="G33" s="5"/>
      <c r="H33" s="5"/>
    </row>
    <row r="34" spans="1:8">
      <c r="A34" s="4"/>
      <c r="B34" s="5"/>
      <c r="C34" s="5"/>
      <c r="D34" s="5"/>
      <c r="E34" s="5"/>
      <c r="F34" s="5"/>
      <c r="G34" s="5"/>
      <c r="H34" s="5"/>
    </row>
    <row r="35" spans="1:8">
      <c r="A35" s="4"/>
      <c r="B35" s="5"/>
      <c r="C35" s="5"/>
      <c r="D35" s="5"/>
      <c r="E35" s="5"/>
      <c r="F35" s="5"/>
      <c r="G35" s="5"/>
      <c r="H35" s="5"/>
    </row>
    <row r="36" spans="1:8">
      <c r="A36" s="4"/>
      <c r="B36" s="5"/>
      <c r="C36" s="5"/>
      <c r="D36" s="5"/>
      <c r="E36" s="5"/>
      <c r="F36" s="5"/>
      <c r="G36" s="5"/>
      <c r="H36" s="5"/>
    </row>
    <row r="37" spans="1:8">
      <c r="A37" s="4"/>
      <c r="B37" s="5"/>
      <c r="C37" s="5"/>
      <c r="D37" s="5"/>
      <c r="E37" s="5"/>
      <c r="F37" s="5"/>
      <c r="G37" s="5"/>
      <c r="H37" s="5"/>
    </row>
    <row r="38" spans="1:8">
      <c r="A38" s="4"/>
      <c r="B38" s="5"/>
      <c r="C38" s="5"/>
      <c r="D38" s="5"/>
      <c r="E38" s="5"/>
      <c r="F38" s="5"/>
      <c r="G38" s="5"/>
      <c r="H38" s="5"/>
    </row>
    <row r="39" spans="1:8">
      <c r="A39" s="4"/>
      <c r="B39" s="5"/>
      <c r="C39" s="5"/>
      <c r="D39" s="5"/>
      <c r="E39" s="5"/>
      <c r="F39" s="5"/>
      <c r="G39" s="5"/>
      <c r="H39" s="5"/>
    </row>
    <row r="40" spans="1:8">
      <c r="A40" s="4"/>
      <c r="B40" s="5"/>
      <c r="C40" s="5"/>
      <c r="D40" s="5"/>
      <c r="E40" s="5"/>
      <c r="F40" s="5"/>
      <c r="G40" s="5"/>
      <c r="H40" s="5"/>
    </row>
    <row r="41" spans="1:8">
      <c r="A41" s="4"/>
      <c r="B41" s="5"/>
      <c r="C41" s="5"/>
      <c r="D41" s="5"/>
      <c r="E41" s="5"/>
      <c r="F41" s="5"/>
      <c r="G41" s="5"/>
      <c r="H41" s="5"/>
    </row>
    <row r="42" spans="1:8">
      <c r="A42" s="4"/>
      <c r="B42" s="5"/>
      <c r="C42" s="5"/>
      <c r="D42" s="5"/>
      <c r="E42" s="5"/>
      <c r="F42" s="5"/>
      <c r="G42" s="5"/>
      <c r="H42" s="5"/>
    </row>
    <row r="43" spans="1:8">
      <c r="A43" s="4"/>
      <c r="B43" s="5"/>
      <c r="C43" s="5"/>
      <c r="D43" s="5"/>
      <c r="E43" s="5"/>
      <c r="F43" s="5"/>
      <c r="G43" s="5"/>
      <c r="H43" s="5"/>
    </row>
    <row r="44" spans="1:8">
      <c r="A44" s="4"/>
      <c r="B44" s="5"/>
      <c r="C44" s="5"/>
      <c r="D44" s="5"/>
      <c r="E44" s="5"/>
      <c r="F44" s="5"/>
      <c r="G44" s="5"/>
      <c r="H44" s="5"/>
    </row>
    <row r="45" spans="1:8">
      <c r="A45" s="4"/>
      <c r="B45" s="5"/>
      <c r="C45" s="5"/>
      <c r="D45" s="5"/>
      <c r="E45" s="5"/>
      <c r="F45" s="5"/>
      <c r="G45" s="5"/>
      <c r="H45" s="5"/>
    </row>
    <row r="46" spans="1:8">
      <c r="A46" s="4"/>
      <c r="B46" s="5"/>
      <c r="C46" s="5"/>
      <c r="D46" s="5"/>
      <c r="E46" s="5"/>
      <c r="F46" s="5"/>
      <c r="G46" s="5"/>
      <c r="H46" s="5"/>
    </row>
    <row r="47" spans="1:8">
      <c r="A47" s="4"/>
      <c r="B47" s="5"/>
      <c r="C47" s="5"/>
      <c r="D47" s="5"/>
      <c r="E47" s="5"/>
      <c r="F47" s="5"/>
      <c r="G47" s="5"/>
      <c r="H47" s="5"/>
    </row>
    <row r="48" spans="1:8">
      <c r="A48" s="4"/>
      <c r="B48" s="5"/>
      <c r="C48" s="5"/>
      <c r="D48" s="5"/>
      <c r="E48" s="5"/>
      <c r="F48" s="5"/>
      <c r="G48" s="5"/>
      <c r="H48" s="5"/>
    </row>
    <row r="49" spans="1:8">
      <c r="A49" s="4"/>
      <c r="B49" s="5"/>
      <c r="C49" s="5"/>
      <c r="D49" s="5"/>
      <c r="E49" s="5"/>
      <c r="F49" s="5"/>
      <c r="G49" s="5"/>
      <c r="H49" s="5"/>
    </row>
    <row r="50" spans="1:8">
      <c r="A50" s="4"/>
      <c r="B50" s="5"/>
      <c r="C50" s="5"/>
      <c r="D50" s="5"/>
      <c r="E50" s="5"/>
      <c r="F50" s="5"/>
      <c r="G50" s="5"/>
      <c r="H50" s="5"/>
    </row>
    <row r="51" spans="1:8">
      <c r="A51" s="4"/>
      <c r="B51" s="5"/>
      <c r="C51" s="5"/>
      <c r="D51" s="5"/>
      <c r="E51" s="5"/>
      <c r="F51" s="5"/>
      <c r="G51" s="5"/>
      <c r="H51" s="5"/>
    </row>
    <row r="52" spans="1:8">
      <c r="A52" s="4"/>
      <c r="B52" s="5"/>
      <c r="C52" s="5"/>
      <c r="D52" s="5"/>
      <c r="E52" s="5"/>
      <c r="F52" s="5"/>
      <c r="G52" s="5"/>
      <c r="H52" s="5"/>
    </row>
    <row r="53" spans="1:8">
      <c r="A53" s="4"/>
      <c r="B53" s="5"/>
      <c r="C53" s="5"/>
      <c r="D53" s="5"/>
      <c r="E53" s="5"/>
      <c r="F53" s="5"/>
      <c r="G53" s="5"/>
      <c r="H53" s="5"/>
    </row>
    <row r="54" spans="1:8">
      <c r="A54" s="4"/>
      <c r="B54" s="5"/>
      <c r="C54" s="5"/>
      <c r="D54" s="5"/>
      <c r="E54" s="5"/>
      <c r="F54" s="5"/>
      <c r="G54" s="5"/>
      <c r="H54" s="5"/>
    </row>
    <row r="55" spans="1:8">
      <c r="A55" s="4"/>
      <c r="B55" s="5"/>
      <c r="C55" s="5"/>
      <c r="D55" s="5"/>
      <c r="E55" s="5"/>
      <c r="F55" s="5"/>
      <c r="G55" s="5"/>
      <c r="H55" s="5"/>
    </row>
    <row r="56" spans="1:8">
      <c r="A56" s="4"/>
      <c r="B56" s="5"/>
      <c r="C56" s="5"/>
      <c r="D56" s="5"/>
      <c r="E56" s="5"/>
      <c r="F56" s="5"/>
      <c r="G56" s="5"/>
      <c r="H56" s="5"/>
    </row>
    <row r="57" spans="1:8">
      <c r="A57" s="4"/>
      <c r="B57" s="5"/>
      <c r="C57" s="5"/>
      <c r="D57" s="5"/>
      <c r="E57" s="5"/>
      <c r="F57" s="5"/>
      <c r="G57" s="5"/>
      <c r="H57" s="5"/>
    </row>
    <row r="58" spans="1:8">
      <c r="A58" s="4"/>
      <c r="B58" s="5"/>
      <c r="C58" s="5"/>
      <c r="D58" s="5"/>
      <c r="E58" s="5"/>
      <c r="F58" s="5"/>
      <c r="G58" s="5"/>
      <c r="H58" s="5"/>
    </row>
    <row r="59" spans="1:8">
      <c r="A59" s="4"/>
      <c r="B59" s="5"/>
      <c r="C59" s="5"/>
      <c r="D59" s="5"/>
      <c r="E59" s="5"/>
      <c r="F59" s="5"/>
      <c r="G59" s="5"/>
      <c r="H59" s="5"/>
    </row>
    <row r="60" spans="1:8">
      <c r="A60" s="4"/>
      <c r="B60" s="5"/>
      <c r="C60" s="5"/>
      <c r="D60" s="5"/>
      <c r="E60" s="5"/>
      <c r="F60" s="5"/>
      <c r="G60" s="5"/>
      <c r="H60" s="5"/>
    </row>
    <row r="61" spans="1:8">
      <c r="A61" s="4"/>
      <c r="B61" s="5"/>
      <c r="C61" s="5"/>
      <c r="D61" s="5"/>
      <c r="E61" s="5"/>
      <c r="F61" s="5"/>
      <c r="G61" s="5"/>
      <c r="H61" s="5"/>
    </row>
    <row r="62" spans="1:8">
      <c r="A62" s="4"/>
      <c r="B62" s="5"/>
      <c r="C62" s="5"/>
      <c r="D62" s="5"/>
      <c r="E62" s="5"/>
      <c r="F62" s="5"/>
      <c r="G62" s="5"/>
      <c r="H62" s="5"/>
    </row>
  </sheetData>
  <dataValidations count="3">
    <dataValidation type="list" allowBlank="1" sqref="D2:D62">
      <formula1>"GPMT,Nước thải,CTNH,Bùn thải,Hóa chất,Quan trắc,Báo cáo,KNK,Sự cố môi trường,EPR"</formula1>
    </dataValidation>
    <dataValidation type="list" allowBlank="1" sqref="E2:E62">
      <formula1>"Cao,Trung bình,Thấp"</formula1>
    </dataValidation>
    <dataValidation type="list" allowBlank="1" sqref="G2:G62">
      <formula1>"Chưa làm,Đang làm,Hoàn thành"</formula1>
    </dataValidation>
  </dataValidations>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6</vt:i4>
      </vt:variant>
    </vt:vector>
  </HeadingPairs>
  <TitlesOfParts>
    <vt:vector size="6" baseType="lpstr">
      <vt:lpstr>00_Huong_dan</vt:lpstr>
      <vt:lpstr>01_ThongTinNhaMay</vt:lpstr>
      <vt:lpstr>02_GPMT</vt:lpstr>
      <vt:lpstr>03_TrangThaiNghiaVu</vt:lpstr>
      <vt:lpstr>04_LichCongViec</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hùng đặng</cp:lastModifiedBy>
  <cp:revision>0</cp:revision>
  <dcterms:created xsi:type="dcterms:W3CDTF">2026-09-06T05:41:00Z</dcterms:created>
  <dcterms:modified xsi:type="dcterms:W3CDTF">2026-09-18T03:08:07Z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1D4170F204544B08B45AA2317CC914C7_12</vt:lpwstr>
  </property>
  <property fmtid="{D5CDD505-2E9C-101B-9397-08002B2CF9AE}" pid="3" name="KSOProductBuildVer">
    <vt:lpwstr>1033-12.1.0.28485</vt:lpwstr>
  </property>
  <property fmtid="{D5CDD505-2E9C-101B-9397-08002B2CF9AE}" pid="4" name="CalculationRule">
    <vt:i4>0</vt:i4>
  </property>
</Properties>
</file>